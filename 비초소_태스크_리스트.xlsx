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F7258083-5989-45F5-9C32-42249C35C610}" xr6:coauthVersionLast="47" xr6:coauthVersionMax="47" xr10:uidLastSave="{00000000-0000-0000-0000-000000000000}"/>
  <bookViews>
    <workbookView xWindow="-120" yWindow="-120" windowWidth="29040" windowHeight="15720" tabRatio="815" activeTab="3" xr2:uid="{00000000-000D-0000-FFFF-FFFF00000000}"/>
  </bookViews>
  <sheets>
    <sheet name="배치" sheetId="1" r:id="rId1"/>
    <sheet name="근무데이터" sheetId="2" r:id="rId2"/>
    <sheet name="대체근무자" sheetId="3" r:id="rId3"/>
    <sheet name="태스크_코드 매핑" sheetId="4" r:id="rId4"/>
    <sheet name="Sheet1" sheetId="5" r:id="rId5"/>
  </sheets>
  <definedNames>
    <definedName name="_xlnm._FilterDatabase" localSheetId="1" hidden="1">근무데이터!$A$1:$C$51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2" i="5" l="1"/>
  <c r="Y32" i="5"/>
  <c r="X32" i="5"/>
  <c r="W32" i="5"/>
  <c r="V32" i="5"/>
  <c r="U32" i="5"/>
  <c r="T32" i="5"/>
  <c r="S32" i="5"/>
  <c r="R32" i="5"/>
  <c r="Q32" i="5"/>
  <c r="C32" i="5"/>
  <c r="D32" i="5"/>
  <c r="E32" i="5"/>
  <c r="F32" i="5"/>
  <c r="G32" i="5"/>
  <c r="H32" i="5"/>
  <c r="I32" i="5"/>
  <c r="J32" i="5"/>
  <c r="K32" i="5"/>
  <c r="B32" i="5"/>
  <c r="M2" i="5" a="1"/>
  <c r="M2" i="5" s="1"/>
  <c r="N2" i="5" a="1"/>
  <c r="N2" i="5" s="1"/>
  <c r="M3" i="5" a="1"/>
  <c r="M3" i="5" s="1"/>
  <c r="N3" i="5" a="1"/>
  <c r="N3" i="5" s="1"/>
  <c r="M4" i="5" a="1"/>
  <c r="M4" i="5" s="1"/>
  <c r="N4" i="5" a="1"/>
  <c r="N4" i="5" s="1"/>
  <c r="M5" i="5" a="1"/>
  <c r="M5" i="5" s="1"/>
  <c r="N5" i="5" a="1"/>
  <c r="N5" i="5" s="1"/>
  <c r="M6" i="5" a="1"/>
  <c r="M6" i="5" s="1"/>
  <c r="N6" i="5" a="1"/>
  <c r="N6" i="5" s="1"/>
  <c r="M7" i="5" a="1"/>
  <c r="M7" i="5" s="1"/>
  <c r="N7" i="5" a="1"/>
  <c r="N7" i="5" s="1"/>
  <c r="M8" i="5" a="1"/>
  <c r="M8" i="5" s="1"/>
  <c r="N8" i="5" a="1"/>
  <c r="N8" i="5" s="1"/>
  <c r="M9" i="5" a="1"/>
  <c r="M9" i="5" s="1"/>
  <c r="N9" i="5" a="1"/>
  <c r="N9" i="5" s="1"/>
  <c r="M10" i="5" a="1"/>
  <c r="M10" i="5" s="1"/>
  <c r="N10" i="5" a="1"/>
  <c r="N10" i="5" s="1"/>
  <c r="M11" i="5" a="1"/>
  <c r="M11" i="5" s="1"/>
  <c r="N11" i="5" a="1"/>
  <c r="N11" i="5" s="1"/>
  <c r="M12" i="5" a="1"/>
  <c r="M12" i="5" s="1"/>
  <c r="N12" i="5" a="1"/>
  <c r="N12" i="5" s="1"/>
  <c r="M13" i="5" a="1"/>
  <c r="M13" i="5" s="1"/>
  <c r="N13" i="5" a="1"/>
  <c r="N13" i="5" s="1"/>
  <c r="M14" i="5" a="1"/>
  <c r="M14" i="5" s="1"/>
  <c r="N14" i="5" a="1"/>
  <c r="N14" i="5" s="1"/>
  <c r="M15" i="5" a="1"/>
  <c r="M15" i="5" s="1"/>
  <c r="N15" i="5" a="1"/>
  <c r="N15" i="5" s="1"/>
  <c r="M16" i="5" a="1"/>
  <c r="M16" i="5" s="1"/>
  <c r="N16" i="5" a="1"/>
  <c r="N16" i="5" s="1"/>
  <c r="M17" i="5" a="1"/>
  <c r="M17" i="5" s="1"/>
  <c r="N17" i="5" a="1"/>
  <c r="N17" i="5" s="1"/>
  <c r="M18" i="5" a="1"/>
  <c r="M18" i="5" s="1"/>
  <c r="N18" i="5" a="1"/>
  <c r="N18" i="5" s="1"/>
  <c r="M19" i="5" a="1"/>
  <c r="M19" i="5" s="1"/>
  <c r="N19" i="5" a="1"/>
  <c r="N19" i="5" s="1"/>
  <c r="M20" i="5" a="1"/>
  <c r="M20" i="5" s="1"/>
  <c r="N20" i="5" a="1"/>
  <c r="N20" i="5" s="1"/>
  <c r="M21" i="5" a="1"/>
  <c r="M21" i="5" s="1"/>
  <c r="N21" i="5" a="1"/>
  <c r="N21" i="5" s="1"/>
  <c r="M22" i="5" a="1"/>
  <c r="M22" i="5" s="1"/>
  <c r="N22" i="5" a="1"/>
  <c r="N22" i="5" s="1"/>
  <c r="M23" i="5" a="1"/>
  <c r="M23" i="5" s="1"/>
  <c r="N23" i="5" a="1"/>
  <c r="N23" i="5" s="1"/>
  <c r="M24" i="5" a="1"/>
  <c r="M24" i="5" s="1"/>
  <c r="N24" i="5" a="1"/>
  <c r="N24" i="5" s="1"/>
  <c r="M25" i="5" a="1"/>
  <c r="M25" i="5" s="1"/>
  <c r="N25" i="5" a="1"/>
  <c r="N25" i="5" s="1"/>
  <c r="M26" i="5" a="1"/>
  <c r="M26" i="5" s="1"/>
  <c r="N26" i="5" a="1"/>
  <c r="N26" i="5" s="1"/>
  <c r="M27" i="5" a="1"/>
  <c r="M27" i="5" s="1"/>
  <c r="N27" i="5" a="1"/>
  <c r="N27" i="5" s="1"/>
  <c r="M28" i="5" a="1"/>
  <c r="M28" i="5" s="1"/>
  <c r="N28" i="5" a="1"/>
  <c r="N28" i="5" s="1"/>
  <c r="M29" i="5" a="1"/>
  <c r="M29" i="5" s="1"/>
  <c r="N29" i="5" a="1"/>
  <c r="N29" i="5" s="1"/>
  <c r="M30" i="5" a="1"/>
  <c r="M30" i="5" s="1"/>
  <c r="N30" i="5" a="1"/>
  <c r="N30" i="5" s="1"/>
  <c r="M31" i="5" a="1"/>
  <c r="M31" i="5" s="1"/>
  <c r="N31" i="5" a="1"/>
  <c r="N31" i="5" s="1"/>
  <c r="M32" i="5" a="1"/>
  <c r="M32" i="5" s="1"/>
  <c r="N32" i="5" a="1"/>
  <c r="N32" i="5" s="1"/>
  <c r="M33" i="5" a="1"/>
  <c r="M33" i="5" s="1"/>
  <c r="N33" i="5" a="1"/>
  <c r="N33" i="5" s="1"/>
  <c r="M34" i="5" a="1"/>
  <c r="M34" i="5" s="1"/>
  <c r="N34" i="5" a="1"/>
  <c r="N34" i="5" s="1"/>
  <c r="M35" i="5" a="1"/>
  <c r="M35" i="5" s="1"/>
  <c r="N35" i="5" a="1"/>
  <c r="N35" i="5" s="1"/>
  <c r="M36" i="5" a="1"/>
  <c r="M36" i="5" s="1"/>
  <c r="N36" i="5" a="1"/>
  <c r="N36" i="5" s="1"/>
  <c r="M37" i="5" a="1"/>
  <c r="M37" i="5" s="1"/>
  <c r="N37" i="5" a="1"/>
  <c r="N37" i="5" s="1"/>
  <c r="M38" i="5" a="1"/>
  <c r="M38" i="5" s="1"/>
  <c r="N38" i="5" a="1"/>
  <c r="N38" i="5" s="1"/>
  <c r="M39" i="5" a="1"/>
  <c r="M39" i="5" s="1"/>
  <c r="N39" i="5" a="1"/>
  <c r="N39" i="5" s="1"/>
  <c r="M40" i="5" a="1"/>
  <c r="M40" i="5" s="1"/>
  <c r="N40" i="5" a="1"/>
  <c r="N40" i="5" s="1"/>
  <c r="M41" i="5" a="1"/>
  <c r="M41" i="5" s="1"/>
  <c r="N41" i="5" a="1"/>
  <c r="N41" i="5" s="1"/>
  <c r="M42" i="5" a="1"/>
  <c r="M42" i="5" s="1"/>
  <c r="N42" i="5" a="1"/>
  <c r="N42" i="5" s="1"/>
  <c r="M43" i="5" a="1"/>
  <c r="M43" i="5" s="1"/>
  <c r="N43" i="5" a="1"/>
  <c r="N43" i="5" s="1"/>
  <c r="M44" i="5" a="1"/>
  <c r="M44" i="5" s="1"/>
  <c r="N44" i="5" a="1"/>
  <c r="N44" i="5" s="1"/>
  <c r="M45" i="5" a="1"/>
  <c r="M45" i="5" s="1"/>
  <c r="N45" i="5" a="1"/>
  <c r="N45" i="5" s="1"/>
  <c r="M46" i="5" a="1"/>
  <c r="M46" i="5" s="1"/>
  <c r="N46" i="5" a="1"/>
  <c r="N46" i="5" s="1"/>
  <c r="M47" i="5" a="1"/>
  <c r="M47" i="5" s="1"/>
  <c r="N47" i="5" a="1"/>
  <c r="N47" i="5" s="1"/>
  <c r="M48" i="5" a="1"/>
  <c r="M48" i="5" s="1"/>
  <c r="N48" i="5" a="1"/>
  <c r="N48" i="5" s="1"/>
  <c r="M49" i="5" a="1"/>
  <c r="M49" i="5" s="1"/>
  <c r="N49" i="5" a="1"/>
  <c r="N49" i="5" s="1"/>
  <c r="M50" i="5" a="1"/>
  <c r="M50" i="5" s="1"/>
  <c r="N50" i="5" a="1"/>
  <c r="N50" i="5" s="1"/>
  <c r="M51" i="5" a="1"/>
  <c r="M51" i="5" s="1"/>
  <c r="N51" i="5" a="1"/>
  <c r="N51" i="5" s="1"/>
  <c r="M52" i="5" a="1"/>
  <c r="M52" i="5" s="1"/>
  <c r="N52" i="5" a="1"/>
  <c r="N52" i="5" s="1"/>
  <c r="M53" i="5" a="1"/>
  <c r="M53" i="5" s="1"/>
  <c r="N53" i="5" a="1"/>
  <c r="N53" i="5" s="1"/>
  <c r="M54" i="5" a="1"/>
  <c r="M54" i="5" s="1"/>
  <c r="N54" i="5" a="1"/>
  <c r="N54" i="5" s="1"/>
  <c r="M55" i="5" a="1"/>
  <c r="M55" i="5" s="1"/>
  <c r="N55" i="5" a="1"/>
  <c r="N55" i="5" s="1"/>
  <c r="M56" i="5" a="1"/>
  <c r="M56" i="5" s="1"/>
  <c r="N56" i="5" a="1"/>
  <c r="N56" i="5" s="1"/>
  <c r="N1" i="5" a="1"/>
  <c r="N1" i="5" s="1"/>
  <c r="M1" i="5" a="1"/>
  <c r="M1" i="5" s="1"/>
  <c r="A52" i="2"/>
  <c r="A53" i="2"/>
  <c r="A24" i="2"/>
  <c r="A26" i="2"/>
  <c r="A23" i="2"/>
  <c r="A10" i="2"/>
  <c r="A44" i="2"/>
  <c r="A43" i="2"/>
  <c r="A51" i="2"/>
  <c r="A50" i="2"/>
  <c r="A49" i="2"/>
  <c r="A48" i="2"/>
  <c r="A47" i="2"/>
  <c r="A46" i="2"/>
  <c r="A45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19" i="2"/>
  <c r="A29" i="2"/>
  <c r="A28" i="2"/>
  <c r="A27" i="2"/>
  <c r="A18" i="2"/>
  <c r="A17" i="2"/>
  <c r="A25" i="2"/>
  <c r="A22" i="2"/>
  <c r="A21" i="2"/>
  <c r="A20" i="2"/>
  <c r="A16" i="2"/>
  <c r="A15" i="2"/>
  <c r="A14" i="2"/>
  <c r="A13" i="2"/>
  <c r="A12" i="2"/>
  <c r="A11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<sst xmlns="http://schemas.openxmlformats.org/spreadsheetml/2006/main" count="473" uniqueCount="154">
  <si>
    <t>경비원명</t>
  </si>
  <si>
    <t>소속초소</t>
  </si>
  <si>
    <t>근무조(A조/B조)</t>
  </si>
  <si>
    <t>휴게 타입(A/B)</t>
  </si>
  <si>
    <t>대체가능인력여부</t>
  </si>
  <si>
    <t>비고</t>
  </si>
  <si>
    <t>이춘도</t>
  </si>
  <si>
    <t>북초소</t>
  </si>
  <si>
    <t>A</t>
  </si>
  <si>
    <t>Y</t>
  </si>
  <si>
    <t>서초소 대체 담당</t>
  </si>
  <si>
    <t>이근재</t>
  </si>
  <si>
    <t>B</t>
  </si>
  <si>
    <t>남초소 대체 담당</t>
  </si>
  <si>
    <t>이학근</t>
  </si>
  <si>
    <t>동초소 대체 담당</t>
  </si>
  <si>
    <t>신운기</t>
  </si>
  <si>
    <t>동초소</t>
  </si>
  <si>
    <t>N</t>
  </si>
  <si>
    <t>정창화</t>
  </si>
  <si>
    <t>유복현</t>
  </si>
  <si>
    <t>서초소</t>
  </si>
  <si>
    <t>김민겸</t>
  </si>
  <si>
    <t>이동철</t>
  </si>
  <si>
    <t>남초소</t>
  </si>
  <si>
    <t>여연동</t>
  </si>
  <si>
    <t>박동원</t>
  </si>
  <si>
    <t>북초소 대체 담당</t>
  </si>
  <si>
    <t>날짜</t>
  </si>
  <si>
    <t>코드명</t>
  </si>
  <si>
    <t>휴-1A</t>
  </si>
  <si>
    <t>휴-2A</t>
  </si>
  <si>
    <t>휴-3A</t>
  </si>
  <si>
    <t>주-3</t>
  </si>
  <si>
    <t>게-1</t>
  </si>
  <si>
    <t>주-1</t>
  </si>
  <si>
    <t>자-1</t>
  </si>
  <si>
    <t>휴-1B</t>
  </si>
  <si>
    <t>휴-2B</t>
  </si>
  <si>
    <t>휴-3B</t>
  </si>
  <si>
    <t>점-1</t>
  </si>
  <si>
    <t>소-1</t>
  </si>
  <si>
    <t>근무일</t>
  </si>
  <si>
    <t>연-2</t>
  </si>
  <si>
    <t>초소</t>
  </si>
  <si>
    <t>태스크명</t>
  </si>
  <si>
    <t>시작시각</t>
  </si>
  <si>
    <t>종료시각</t>
  </si>
  <si>
    <t>게시물 게시</t>
  </si>
  <si>
    <t>점등</t>
  </si>
  <si>
    <t>소등</t>
  </si>
  <si>
    <t>자전거정리</t>
  </si>
  <si>
    <t>재-1</t>
  </si>
  <si>
    <t>재활용장점검</t>
  </si>
  <si>
    <t>보-1</t>
  </si>
  <si>
    <t>보안문점검</t>
  </si>
  <si>
    <t>휴게(오전)</t>
  </si>
  <si>
    <t>휴게(오후)</t>
  </si>
  <si>
    <t>휴게(야간)</t>
  </si>
  <si>
    <t>연-1</t>
  </si>
  <si>
    <t>전일연차</t>
  </si>
  <si>
    <t>오전연차</t>
  </si>
  <si>
    <t>연-3</t>
  </si>
  <si>
    <t>오후연차</t>
  </si>
  <si>
    <t>대체근무</t>
  </si>
  <si>
    <t>이근재</t>
    <phoneticPr fontId="7" type="noConversion"/>
  </si>
  <si>
    <t>휴-3C</t>
    <phoneticPr fontId="7" type="noConversion"/>
  </si>
  <si>
    <t>휴게(자정)</t>
    <phoneticPr fontId="7" type="noConversion"/>
  </si>
  <si>
    <t>휴-1B</t>
    <phoneticPr fontId="7" type="noConversion"/>
  </si>
  <si>
    <t>휴-3A</t>
    <phoneticPr fontId="7" type="noConversion"/>
  </si>
  <si>
    <t>보-1</t>
    <phoneticPr fontId="7" type="noConversion"/>
  </si>
  <si>
    <t>주-2</t>
    <phoneticPr fontId="7" type="noConversion"/>
  </si>
  <si>
    <t>이학근</t>
    <phoneticPr fontId="7" type="noConversion"/>
  </si>
  <si>
    <t>A</t>
    <phoneticPr fontId="7" type="noConversion"/>
  </si>
  <si>
    <t>B</t>
    <phoneticPr fontId="7" type="noConversion"/>
  </si>
  <si>
    <t>휴-3B</t>
    <phoneticPr fontId="7" type="noConversion"/>
  </si>
  <si>
    <t>휴-2B</t>
    <phoneticPr fontId="7" type="noConversion"/>
  </si>
  <si>
    <t>자-1</t>
    <phoneticPr fontId="7" type="noConversion"/>
  </si>
  <si>
    <t>대체-전일</t>
    <phoneticPr fontId="7" type="noConversion"/>
  </si>
  <si>
    <t>대체-오전</t>
    <phoneticPr fontId="7" type="noConversion"/>
  </si>
  <si>
    <t>대체-오후</t>
    <phoneticPr fontId="7" type="noConversion"/>
  </si>
  <si>
    <t>대체-남</t>
    <phoneticPr fontId="7" type="noConversion"/>
  </si>
  <si>
    <t>이춘도</t>
    <phoneticPr fontId="7" type="noConversion"/>
  </si>
  <si>
    <t>주-1</t>
    <phoneticPr fontId="7" type="noConversion"/>
  </si>
  <si>
    <t>주-3</t>
    <phoneticPr fontId="7" type="noConversion"/>
  </si>
  <si>
    <t>게-1</t>
    <phoneticPr fontId="7" type="noConversion"/>
  </si>
  <si>
    <t>점-1</t>
    <phoneticPr fontId="7" type="noConversion"/>
  </si>
  <si>
    <t>소-1</t>
    <phoneticPr fontId="7" type="noConversion"/>
  </si>
  <si>
    <t>휴-1A</t>
    <phoneticPr fontId="7" type="noConversion"/>
  </si>
  <si>
    <t>휴-2A</t>
    <phoneticPr fontId="7" type="noConversion"/>
  </si>
  <si>
    <t>재-1</t>
    <phoneticPr fontId="7" type="noConversion"/>
  </si>
  <si>
    <t>유복현</t>
    <phoneticPr fontId="7" type="noConversion"/>
  </si>
  <si>
    <t>신운기</t>
    <phoneticPr fontId="7" type="noConversion"/>
  </si>
  <si>
    <t>김민겸</t>
    <phoneticPr fontId="7" type="noConversion"/>
  </si>
  <si>
    <t>정창화</t>
    <phoneticPr fontId="7" type="noConversion"/>
  </si>
  <si>
    <t>박동원</t>
    <phoneticPr fontId="7" type="noConversion"/>
  </si>
  <si>
    <t>이동철</t>
    <phoneticPr fontId="7" type="noConversion"/>
  </si>
  <si>
    <t>여연동</t>
    <phoneticPr fontId="7" type="noConversion"/>
  </si>
  <si>
    <t>분담표</t>
    <phoneticPr fontId="7" type="noConversion"/>
  </si>
  <si>
    <t>주-4</t>
    <phoneticPr fontId="7" type="noConversion"/>
  </si>
  <si>
    <t>주-5</t>
    <phoneticPr fontId="7" type="noConversion"/>
  </si>
  <si>
    <t>주차단속(11)</t>
    <phoneticPr fontId="7" type="noConversion"/>
  </si>
  <si>
    <t>주차단속(07)</t>
    <phoneticPr fontId="7" type="noConversion"/>
  </si>
  <si>
    <t>주차단속(14)</t>
    <phoneticPr fontId="7" type="noConversion"/>
  </si>
  <si>
    <t>주차단속(21)</t>
    <phoneticPr fontId="7" type="noConversion"/>
  </si>
  <si>
    <t>기준표</t>
    <phoneticPr fontId="7" type="noConversion"/>
  </si>
  <si>
    <t>대체근무</t>
    <phoneticPr fontId="7" type="noConversion"/>
  </si>
  <si>
    <t>대체-임시1</t>
    <phoneticPr fontId="7" type="noConversion"/>
  </si>
  <si>
    <t>맘-1</t>
    <phoneticPr fontId="7" type="noConversion"/>
  </si>
  <si>
    <t>맘개방</t>
    <phoneticPr fontId="7" type="noConversion"/>
  </si>
  <si>
    <t>푸-1</t>
    <phoneticPr fontId="7" type="noConversion"/>
  </si>
  <si>
    <t>푸른개방</t>
    <phoneticPr fontId="7" type="noConversion"/>
  </si>
  <si>
    <t>물-1</t>
    <phoneticPr fontId="7" type="noConversion"/>
  </si>
  <si>
    <t>물오뚜기</t>
    <phoneticPr fontId="7" type="noConversion"/>
  </si>
  <si>
    <t>청-1</t>
    <phoneticPr fontId="7" type="noConversion"/>
  </si>
  <si>
    <t>대청소</t>
    <phoneticPr fontId="7" type="noConversion"/>
  </si>
  <si>
    <t>G-1</t>
    <phoneticPr fontId="7" type="noConversion"/>
  </si>
  <si>
    <t>G-2</t>
  </si>
  <si>
    <t>G-2</t>
    <phoneticPr fontId="7" type="noConversion"/>
  </si>
  <si>
    <t>G-3</t>
  </si>
  <si>
    <t>G-3</t>
    <phoneticPr fontId="7" type="noConversion"/>
  </si>
  <si>
    <t>G-소등</t>
    <phoneticPr fontId="7" type="noConversion"/>
  </si>
  <si>
    <t>G-확인2</t>
    <phoneticPr fontId="7" type="noConversion"/>
  </si>
  <si>
    <t>G-확인1</t>
    <phoneticPr fontId="7" type="noConversion"/>
  </si>
  <si>
    <t>맘-1</t>
  </si>
  <si>
    <t>푸-1</t>
  </si>
  <si>
    <t>G-1</t>
  </si>
  <si>
    <t>(07)</t>
    <phoneticPr fontId="7" type="noConversion"/>
  </si>
  <si>
    <t>(11)</t>
    <phoneticPr fontId="7" type="noConversion"/>
  </si>
  <si>
    <t>(21)</t>
    <phoneticPr fontId="7" type="noConversion"/>
  </si>
  <si>
    <t>(14)</t>
    <phoneticPr fontId="7" type="noConversion"/>
  </si>
  <si>
    <t>(20)</t>
    <phoneticPr fontId="7" type="noConversion"/>
  </si>
  <si>
    <t>동→서→북</t>
    <phoneticPr fontId="7" type="noConversion"/>
  </si>
  <si>
    <t>(일)</t>
    <phoneticPr fontId="7" type="noConversion"/>
  </si>
  <si>
    <t>(월),(목)</t>
    <phoneticPr fontId="7" type="noConversion"/>
  </si>
  <si>
    <t>(개방)</t>
    <phoneticPr fontId="7" type="noConversion"/>
  </si>
  <si>
    <t>(소등)</t>
    <phoneticPr fontId="7" type="noConversion"/>
  </si>
  <si>
    <t>춘</t>
    <phoneticPr fontId="7" type="noConversion"/>
  </si>
  <si>
    <t>근</t>
    <phoneticPr fontId="7" type="noConversion"/>
  </si>
  <si>
    <t>학</t>
    <phoneticPr fontId="7" type="noConversion"/>
  </si>
  <si>
    <t>창</t>
    <phoneticPr fontId="7" type="noConversion"/>
  </si>
  <si>
    <t>운</t>
    <phoneticPr fontId="7" type="noConversion"/>
  </si>
  <si>
    <t>복</t>
    <phoneticPr fontId="7" type="noConversion"/>
  </si>
  <si>
    <t>민</t>
    <phoneticPr fontId="7" type="noConversion"/>
  </si>
  <si>
    <t>동</t>
    <phoneticPr fontId="7" type="noConversion"/>
  </si>
  <si>
    <t>연</t>
    <phoneticPr fontId="7" type="noConversion"/>
  </si>
  <si>
    <t>원</t>
    <phoneticPr fontId="7" type="noConversion"/>
  </si>
  <si>
    <t>고-1</t>
    <phoneticPr fontId="7" type="noConversion"/>
  </si>
  <si>
    <t>월세고지서</t>
    <phoneticPr fontId="7" type="noConversion"/>
  </si>
  <si>
    <t>관리고지서</t>
    <phoneticPr fontId="7" type="noConversion"/>
  </si>
  <si>
    <t>월-1</t>
    <phoneticPr fontId="7" type="noConversion"/>
  </si>
  <si>
    <t>관-1</t>
    <phoneticPr fontId="7" type="noConversion"/>
  </si>
  <si>
    <t>서초소</t>
    <phoneticPr fontId="7" type="noConversion"/>
  </si>
  <si>
    <t>주-4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</si>
</sst>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-&quot;m&quot;-&quot;d;@"/>
    <numFmt numFmtId="177" formatCode="h:mm;@"/>
    <numFmt numFmtId="178" formatCode="yyyy/mm/dd\(aaa\)"/>
  </numFmts>
  <fonts count="26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color theme="1"/>
      <name val="Arial"/>
      <family val="3"/>
      <charset val="129"/>
    </font>
    <font>
      <sz val="11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Arial"/>
      <family val="3"/>
      <charset val="129"/>
    </font>
    <font>
      <b/>
      <sz val="11"/>
      <color theme="1"/>
      <name val="Arial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8" tint="-0.499984740745262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55">
    <xf numFmtId="0" fontId="0" fillId="0" borderId="0" xfId="0">
      <alignment vertical="center"/>
    </xf>
    <xf numFmtId="0" fontId="8" fillId="0" borderId="0" xfId="1">
      <alignment vertical="center"/>
    </xf>
    <xf numFmtId="0" fontId="8" fillId="0" borderId="1" xfId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177" fontId="8" fillId="0" borderId="1" xfId="1" applyNumberFormat="1" applyBorder="1" applyAlignment="1">
      <alignment horizontal="center" vertical="center"/>
    </xf>
    <xf numFmtId="20" fontId="11" fillId="0" borderId="1" xfId="1" applyNumberFormat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8" fillId="0" borderId="1" xfId="1" applyBorder="1">
      <alignment vertical="center"/>
    </xf>
    <xf numFmtId="0" fontId="15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0" fillId="0" borderId="0" xfId="0" applyAlignment="1"/>
    <xf numFmtId="0" fontId="5" fillId="0" borderId="1" xfId="1" applyFont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9" fillId="0" borderId="0" xfId="1" applyFont="1">
      <alignment vertical="center"/>
    </xf>
    <xf numFmtId="176" fontId="19" fillId="0" borderId="1" xfId="1" applyNumberFormat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176" fontId="19" fillId="0" borderId="0" xfId="1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8" borderId="1" xfId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25" fillId="6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178" fontId="2" fillId="7" borderId="0" xfId="0" applyNumberFormat="1" applyFont="1" applyFill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1" xfId="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DFC9EF"/>
      <color rgb="FF0032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8" sqref="F18"/>
    </sheetView>
  </sheetViews>
  <sheetFormatPr defaultRowHeight="16.5"/>
  <cols>
    <col min="1" max="2" width="8.88671875" style="1" customWidth="1"/>
    <col min="3" max="3" width="15.21875" style="1" customWidth="1"/>
    <col min="4" max="4" width="14.44140625" style="1" customWidth="1"/>
    <col min="5" max="5" width="18.21875" style="1" customWidth="1"/>
    <col min="6" max="6" width="15.77734375" style="1" customWidth="1"/>
    <col min="7" max="7" width="21.33203125" style="1" customWidth="1"/>
    <col min="8" max="8" width="8.88671875" style="1" customWidth="1"/>
    <col min="9" max="16384" width="8.88671875" style="1"/>
  </cols>
  <sheetData>
    <row r="1" spans="1:6">
      <c r="A1" s="3" t="s">
        <v>0</v>
      </c>
      <c r="B1" s="3" t="s">
        <v>1</v>
      </c>
      <c r="C1" s="11" t="s">
        <v>2</v>
      </c>
      <c r="D1" s="4" t="s">
        <v>3</v>
      </c>
      <c r="E1" s="3" t="s">
        <v>4</v>
      </c>
      <c r="F1" s="3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8</v>
      </c>
      <c r="E2" s="5" t="s">
        <v>9</v>
      </c>
      <c r="F2" s="5" t="s">
        <v>10</v>
      </c>
    </row>
    <row r="3" spans="1:6">
      <c r="A3" s="5" t="s">
        <v>11</v>
      </c>
      <c r="B3" s="5" t="s">
        <v>7</v>
      </c>
      <c r="C3" s="5" t="s">
        <v>8</v>
      </c>
      <c r="D3" s="5" t="s">
        <v>12</v>
      </c>
      <c r="E3" s="5" t="s">
        <v>9</v>
      </c>
      <c r="F3" s="5" t="s">
        <v>13</v>
      </c>
    </row>
    <row r="4" spans="1:6">
      <c r="A4" s="6" t="s">
        <v>14</v>
      </c>
      <c r="B4" s="5" t="s">
        <v>7</v>
      </c>
      <c r="C4" s="5" t="s">
        <v>8</v>
      </c>
      <c r="D4" s="5" t="s">
        <v>12</v>
      </c>
      <c r="E4" s="5" t="s">
        <v>9</v>
      </c>
      <c r="F4" s="7" t="s">
        <v>15</v>
      </c>
    </row>
    <row r="5" spans="1:6">
      <c r="A5" s="6" t="s">
        <v>16</v>
      </c>
      <c r="B5" s="7" t="s">
        <v>17</v>
      </c>
      <c r="C5" s="5" t="s">
        <v>8</v>
      </c>
      <c r="D5" s="5" t="s">
        <v>74</v>
      </c>
      <c r="E5" s="5" t="s">
        <v>18</v>
      </c>
      <c r="F5" s="7"/>
    </row>
    <row r="6" spans="1:6">
      <c r="A6" s="6" t="s">
        <v>19</v>
      </c>
      <c r="B6" s="8" t="s">
        <v>17</v>
      </c>
      <c r="C6" s="5" t="s">
        <v>8</v>
      </c>
      <c r="D6" s="5" t="s">
        <v>73</v>
      </c>
      <c r="E6" s="5" t="s">
        <v>18</v>
      </c>
      <c r="F6" s="7"/>
    </row>
    <row r="7" spans="1:6">
      <c r="A7" s="6" t="s">
        <v>20</v>
      </c>
      <c r="B7" s="8" t="s">
        <v>21</v>
      </c>
      <c r="C7" s="5" t="s">
        <v>8</v>
      </c>
      <c r="D7" s="5" t="s">
        <v>73</v>
      </c>
      <c r="E7" s="5" t="s">
        <v>18</v>
      </c>
      <c r="F7" s="7"/>
    </row>
    <row r="8" spans="1:6">
      <c r="A8" s="6" t="s">
        <v>22</v>
      </c>
      <c r="B8" s="8" t="s">
        <v>21</v>
      </c>
      <c r="C8" s="5" t="s">
        <v>8</v>
      </c>
      <c r="D8" s="5" t="s">
        <v>12</v>
      </c>
      <c r="E8" s="5" t="s">
        <v>18</v>
      </c>
      <c r="F8" s="7"/>
    </row>
    <row r="9" spans="1:6">
      <c r="A9" s="6" t="s">
        <v>23</v>
      </c>
      <c r="B9" s="8" t="s">
        <v>24</v>
      </c>
      <c r="C9" s="5" t="s">
        <v>8</v>
      </c>
      <c r="D9" s="5" t="s">
        <v>8</v>
      </c>
      <c r="E9" s="5" t="s">
        <v>18</v>
      </c>
      <c r="F9" s="7"/>
    </row>
    <row r="10" spans="1:6">
      <c r="A10" s="6" t="s">
        <v>25</v>
      </c>
      <c r="B10" s="8" t="s">
        <v>24</v>
      </c>
      <c r="C10" s="5" t="s">
        <v>8</v>
      </c>
      <c r="D10" s="5" t="s">
        <v>12</v>
      </c>
      <c r="E10" s="5" t="s">
        <v>18</v>
      </c>
      <c r="F10" s="7"/>
    </row>
    <row r="11" spans="1:6">
      <c r="A11" s="6" t="s">
        <v>26</v>
      </c>
      <c r="B11" s="7" t="s">
        <v>24</v>
      </c>
      <c r="C11" s="5" t="s">
        <v>8</v>
      </c>
      <c r="D11" s="5" t="s">
        <v>12</v>
      </c>
      <c r="E11" s="5" t="s">
        <v>9</v>
      </c>
      <c r="F11" s="7" t="s">
        <v>27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zoomScale="130" zoomScaleNormal="130" workbookViewId="0">
      <selection activeCell="F7" sqref="F7"/>
    </sheetView>
  </sheetViews>
  <sheetFormatPr defaultRowHeight="16.5"/>
  <cols>
    <col min="1" max="3" width="8.88671875" style="25" customWidth="1"/>
    <col min="4" max="4" width="8.44140625" style="25" customWidth="1"/>
    <col min="5" max="5" width="7.77734375" style="25" customWidth="1"/>
    <col min="6" max="16384" width="8.88671875" style="25"/>
  </cols>
  <sheetData>
    <row r="1" spans="1:6">
      <c r="A1" s="24" t="s">
        <v>28</v>
      </c>
      <c r="B1" s="24" t="s">
        <v>0</v>
      </c>
      <c r="C1" s="24" t="s">
        <v>29</v>
      </c>
    </row>
    <row r="2" spans="1:6">
      <c r="A2" s="26">
        <f t="shared" ref="A2:A32" si="0">IF(OR(C2="소-1",C2="휴-3B",C2="휴-3C"),$F$16+1,$F$16)</f>
        <v>46231</v>
      </c>
      <c r="B2" s="27" t="s">
        <v>6</v>
      </c>
      <c r="C2" s="27" t="s">
        <v>35</v>
      </c>
    </row>
    <row r="3" spans="1:6">
      <c r="A3" s="26">
        <f t="shared" si="0"/>
        <v>46231</v>
      </c>
      <c r="B3" s="27" t="s">
        <v>6</v>
      </c>
      <c r="C3" s="27" t="s">
        <v>30</v>
      </c>
    </row>
    <row r="4" spans="1:6">
      <c r="A4" s="26">
        <f t="shared" si="0"/>
        <v>46231</v>
      </c>
      <c r="B4" s="27" t="s">
        <v>6</v>
      </c>
      <c r="C4" s="27" t="s">
        <v>31</v>
      </c>
    </row>
    <row r="5" spans="1:6">
      <c r="A5" s="26">
        <f t="shared" si="0"/>
        <v>46232</v>
      </c>
      <c r="B5" s="27" t="s">
        <v>6</v>
      </c>
      <c r="C5" s="27" t="s">
        <v>39</v>
      </c>
    </row>
    <row r="6" spans="1:6">
      <c r="A6" s="26">
        <f t="shared" si="0"/>
        <v>46231</v>
      </c>
      <c r="B6" s="27" t="s">
        <v>6</v>
      </c>
      <c r="C6" s="27" t="s">
        <v>33</v>
      </c>
    </row>
    <row r="7" spans="1:6">
      <c r="A7" s="26">
        <f t="shared" si="0"/>
        <v>46231</v>
      </c>
      <c r="B7" s="27" t="s">
        <v>11</v>
      </c>
      <c r="C7" s="27" t="s">
        <v>35</v>
      </c>
    </row>
    <row r="8" spans="1:6">
      <c r="A8" s="26">
        <f t="shared" si="0"/>
        <v>46231</v>
      </c>
      <c r="B8" s="27" t="s">
        <v>11</v>
      </c>
      <c r="C8" s="27" t="s">
        <v>30</v>
      </c>
    </row>
    <row r="9" spans="1:6">
      <c r="A9" s="26">
        <f t="shared" si="0"/>
        <v>46231</v>
      </c>
      <c r="B9" s="27" t="s">
        <v>11</v>
      </c>
      <c r="C9" s="27" t="s">
        <v>37</v>
      </c>
    </row>
    <row r="10" spans="1:6">
      <c r="A10" s="26">
        <f t="shared" si="0"/>
        <v>46231</v>
      </c>
      <c r="B10" s="27" t="s">
        <v>11</v>
      </c>
      <c r="C10" s="27" t="s">
        <v>38</v>
      </c>
    </row>
    <row r="11" spans="1:6">
      <c r="A11" s="26">
        <f t="shared" si="0"/>
        <v>46231</v>
      </c>
      <c r="B11" s="27" t="s">
        <v>11</v>
      </c>
      <c r="C11" s="27" t="s">
        <v>34</v>
      </c>
    </row>
    <row r="12" spans="1:6">
      <c r="A12" s="26">
        <f t="shared" si="0"/>
        <v>46231</v>
      </c>
      <c r="B12" s="27" t="s">
        <v>11</v>
      </c>
      <c r="C12" s="27" t="s">
        <v>32</v>
      </c>
    </row>
    <row r="13" spans="1:6">
      <c r="A13" s="26">
        <f t="shared" si="0"/>
        <v>46231</v>
      </c>
      <c r="B13" s="27" t="s">
        <v>14</v>
      </c>
      <c r="C13" s="27" t="s">
        <v>37</v>
      </c>
    </row>
    <row r="14" spans="1:6">
      <c r="A14" s="26">
        <f t="shared" si="0"/>
        <v>46231</v>
      </c>
      <c r="B14" s="27" t="s">
        <v>14</v>
      </c>
      <c r="C14" s="27" t="s">
        <v>38</v>
      </c>
    </row>
    <row r="15" spans="1:6">
      <c r="A15" s="26">
        <f t="shared" si="0"/>
        <v>46231</v>
      </c>
      <c r="B15" s="27" t="s">
        <v>14</v>
      </c>
      <c r="C15" s="27" t="s">
        <v>40</v>
      </c>
    </row>
    <row r="16" spans="1:6">
      <c r="A16" s="26">
        <f t="shared" si="0"/>
        <v>46231</v>
      </c>
      <c r="B16" s="27" t="s">
        <v>14</v>
      </c>
      <c r="C16" s="27" t="s">
        <v>153</v>
      </c>
      <c r="E16" s="27" t="s">
        <v>42</v>
      </c>
      <c r="F16" s="26">
        <v>46231</v>
      </c>
    </row>
    <row r="17" spans="1:6">
      <c r="A17" s="26">
        <f t="shared" si="0"/>
        <v>46231</v>
      </c>
      <c r="B17" s="27" t="s">
        <v>14</v>
      </c>
      <c r="C17" s="27" t="s">
        <v>32</v>
      </c>
    </row>
    <row r="18" spans="1:6">
      <c r="A18" s="26">
        <f t="shared" si="0"/>
        <v>46232</v>
      </c>
      <c r="B18" s="27" t="s">
        <v>14</v>
      </c>
      <c r="C18" s="27" t="s">
        <v>41</v>
      </c>
    </row>
    <row r="19" spans="1:6">
      <c r="A19" s="26">
        <f t="shared" si="0"/>
        <v>46231</v>
      </c>
      <c r="B19" s="27" t="s">
        <v>14</v>
      </c>
      <c r="C19" s="27" t="s">
        <v>33</v>
      </c>
    </row>
    <row r="20" spans="1:6">
      <c r="A20" s="26">
        <f t="shared" si="0"/>
        <v>46231</v>
      </c>
      <c r="B20" s="27" t="s">
        <v>19</v>
      </c>
      <c r="C20" s="27" t="s">
        <v>35</v>
      </c>
      <c r="F20" s="28"/>
    </row>
    <row r="21" spans="1:6">
      <c r="A21" s="26">
        <f t="shared" si="0"/>
        <v>46231</v>
      </c>
      <c r="B21" s="27" t="s">
        <v>19</v>
      </c>
      <c r="C21" s="27" t="s">
        <v>30</v>
      </c>
      <c r="F21" s="28"/>
    </row>
    <row r="22" spans="1:6">
      <c r="A22" s="26">
        <f t="shared" si="0"/>
        <v>46231</v>
      </c>
      <c r="B22" s="27" t="s">
        <v>19</v>
      </c>
      <c r="C22" s="27" t="s">
        <v>31</v>
      </c>
    </row>
    <row r="23" spans="1:6">
      <c r="A23" s="26">
        <f t="shared" si="0"/>
        <v>46231</v>
      </c>
      <c r="B23" s="27" t="s">
        <v>19</v>
      </c>
      <c r="C23" s="27" t="s">
        <v>40</v>
      </c>
    </row>
    <row r="24" spans="1:6">
      <c r="A24" s="26">
        <f t="shared" si="0"/>
        <v>46231</v>
      </c>
      <c r="B24" s="27" t="s">
        <v>19</v>
      </c>
      <c r="C24" s="27" t="s">
        <v>32</v>
      </c>
    </row>
    <row r="25" spans="1:6">
      <c r="A25" s="26">
        <f t="shared" si="0"/>
        <v>46232</v>
      </c>
      <c r="B25" s="27" t="s">
        <v>19</v>
      </c>
      <c r="C25" s="27" t="s">
        <v>41</v>
      </c>
    </row>
    <row r="26" spans="1:6">
      <c r="A26" s="26">
        <f t="shared" si="0"/>
        <v>46231</v>
      </c>
      <c r="B26" s="27" t="s">
        <v>16</v>
      </c>
      <c r="C26" s="27" t="s">
        <v>37</v>
      </c>
    </row>
    <row r="27" spans="1:6">
      <c r="A27" s="26">
        <f t="shared" si="0"/>
        <v>46231</v>
      </c>
      <c r="B27" s="27" t="s">
        <v>16</v>
      </c>
      <c r="C27" s="27" t="s">
        <v>38</v>
      </c>
    </row>
    <row r="28" spans="1:6">
      <c r="A28" s="26">
        <f t="shared" si="0"/>
        <v>46231</v>
      </c>
      <c r="B28" s="27" t="s">
        <v>16</v>
      </c>
      <c r="C28" s="27" t="s">
        <v>34</v>
      </c>
    </row>
    <row r="29" spans="1:6">
      <c r="A29" s="26">
        <f t="shared" si="0"/>
        <v>46231</v>
      </c>
      <c r="B29" s="27" t="s">
        <v>16</v>
      </c>
      <c r="C29" s="27" t="s">
        <v>153</v>
      </c>
    </row>
    <row r="30" spans="1:6">
      <c r="A30" s="26">
        <f t="shared" si="0"/>
        <v>46232</v>
      </c>
      <c r="B30" s="27" t="s">
        <v>16</v>
      </c>
      <c r="C30" s="27" t="s">
        <v>39</v>
      </c>
    </row>
    <row r="31" spans="1:6">
      <c r="A31" s="26">
        <f t="shared" si="0"/>
        <v>46231</v>
      </c>
      <c r="B31" s="27" t="s">
        <v>16</v>
      </c>
      <c r="C31" s="27" t="s">
        <v>33</v>
      </c>
    </row>
    <row r="32" spans="1:6">
      <c r="A32" s="26">
        <f t="shared" si="0"/>
        <v>46231</v>
      </c>
      <c r="B32" s="27" t="s">
        <v>20</v>
      </c>
      <c r="C32" s="27" t="s">
        <v>153</v>
      </c>
    </row>
    <row r="33" spans="1:3">
      <c r="A33" s="26">
        <f t="shared" ref="A33:A56" si="1">IF(OR(C33="소-1",C33="휴-3B",C33="휴-3C"),$F$16+1,$F$16)</f>
        <v>46231</v>
      </c>
      <c r="B33" s="27" t="s">
        <v>20</v>
      </c>
      <c r="C33" s="27" t="s">
        <v>32</v>
      </c>
    </row>
    <row r="34" spans="1:3">
      <c r="A34" s="26">
        <f t="shared" si="1"/>
        <v>46232</v>
      </c>
      <c r="B34" s="27" t="s">
        <v>20</v>
      </c>
      <c r="C34" s="27" t="s">
        <v>41</v>
      </c>
    </row>
    <row r="35" spans="1:3">
      <c r="A35" s="26">
        <f t="shared" si="1"/>
        <v>46231</v>
      </c>
      <c r="B35" s="27" t="s">
        <v>20</v>
      </c>
      <c r="C35" s="27" t="s">
        <v>124</v>
      </c>
    </row>
    <row r="36" spans="1:3">
      <c r="A36" s="26">
        <f t="shared" si="1"/>
        <v>46231</v>
      </c>
      <c r="B36" s="27" t="s">
        <v>20</v>
      </c>
      <c r="C36" s="27" t="s">
        <v>119</v>
      </c>
    </row>
    <row r="37" spans="1:3">
      <c r="A37" s="26">
        <f t="shared" si="1"/>
        <v>46231</v>
      </c>
      <c r="B37" s="27" t="s">
        <v>20</v>
      </c>
      <c r="C37" s="27" t="s">
        <v>125</v>
      </c>
    </row>
    <row r="38" spans="1:3">
      <c r="A38" s="26">
        <f t="shared" si="1"/>
        <v>46231</v>
      </c>
      <c r="B38" s="27" t="s">
        <v>20</v>
      </c>
      <c r="C38" s="27" t="s">
        <v>43</v>
      </c>
    </row>
    <row r="39" spans="1:3">
      <c r="A39" s="26">
        <f t="shared" si="1"/>
        <v>46231</v>
      </c>
      <c r="B39" s="27" t="s">
        <v>22</v>
      </c>
      <c r="C39" s="27" t="s">
        <v>37</v>
      </c>
    </row>
    <row r="40" spans="1:3">
      <c r="A40" s="26">
        <f t="shared" si="1"/>
        <v>46231</v>
      </c>
      <c r="B40" s="27" t="s">
        <v>22</v>
      </c>
      <c r="C40" s="27" t="s">
        <v>38</v>
      </c>
    </row>
    <row r="41" spans="1:3">
      <c r="A41" s="26">
        <f t="shared" si="1"/>
        <v>46231</v>
      </c>
      <c r="B41" s="27" t="s">
        <v>22</v>
      </c>
      <c r="C41" s="27" t="s">
        <v>40</v>
      </c>
    </row>
    <row r="42" spans="1:3">
      <c r="A42" s="26">
        <f t="shared" si="1"/>
        <v>46231</v>
      </c>
      <c r="B42" s="27" t="s">
        <v>22</v>
      </c>
      <c r="C42" s="27" t="s">
        <v>34</v>
      </c>
    </row>
    <row r="43" spans="1:3">
      <c r="A43" s="26">
        <f t="shared" ref="A43:A44" si="2">IF(OR(C43="소-1",C43="휴-3B",C43="휴-3C"),$F$16+1,$F$16)</f>
        <v>46232</v>
      </c>
      <c r="B43" s="27" t="s">
        <v>22</v>
      </c>
      <c r="C43" s="27" t="s">
        <v>39</v>
      </c>
    </row>
    <row r="44" spans="1:3">
      <c r="A44" s="26">
        <f t="shared" si="2"/>
        <v>46231</v>
      </c>
      <c r="B44" s="27" t="s">
        <v>22</v>
      </c>
      <c r="C44" s="27" t="s">
        <v>126</v>
      </c>
    </row>
    <row r="45" spans="1:3">
      <c r="A45" s="26">
        <f t="shared" si="1"/>
        <v>46231</v>
      </c>
      <c r="B45" s="27" t="s">
        <v>22</v>
      </c>
      <c r="C45" s="27" t="s">
        <v>117</v>
      </c>
    </row>
    <row r="46" spans="1:3">
      <c r="A46" s="26">
        <f t="shared" si="1"/>
        <v>46231</v>
      </c>
      <c r="B46" s="27" t="s">
        <v>22</v>
      </c>
      <c r="C46" s="27" t="s">
        <v>36</v>
      </c>
    </row>
    <row r="47" spans="1:3">
      <c r="A47" s="26">
        <f t="shared" si="1"/>
        <v>46231</v>
      </c>
      <c r="B47" s="27" t="s">
        <v>23</v>
      </c>
      <c r="C47" s="27" t="s">
        <v>30</v>
      </c>
    </row>
    <row r="48" spans="1:3">
      <c r="A48" s="26">
        <f t="shared" si="1"/>
        <v>46231</v>
      </c>
      <c r="B48" s="27" t="s">
        <v>23</v>
      </c>
      <c r="C48" s="27" t="s">
        <v>31</v>
      </c>
    </row>
    <row r="49" spans="1:3">
      <c r="A49" s="26">
        <f t="shared" si="1"/>
        <v>46231</v>
      </c>
      <c r="B49" s="27" t="s">
        <v>23</v>
      </c>
      <c r="C49" s="27" t="s">
        <v>32</v>
      </c>
    </row>
    <row r="50" spans="1:3">
      <c r="A50" s="26">
        <f t="shared" si="1"/>
        <v>46231</v>
      </c>
      <c r="B50" s="27" t="s">
        <v>25</v>
      </c>
      <c r="C50" s="27" t="s">
        <v>37</v>
      </c>
    </row>
    <row r="51" spans="1:3">
      <c r="A51" s="26">
        <f t="shared" si="1"/>
        <v>46231</v>
      </c>
      <c r="B51" s="27" t="s">
        <v>25</v>
      </c>
      <c r="C51" s="27" t="s">
        <v>38</v>
      </c>
    </row>
    <row r="52" spans="1:3">
      <c r="A52" s="26">
        <f t="shared" si="1"/>
        <v>46232</v>
      </c>
      <c r="B52" s="27" t="s">
        <v>25</v>
      </c>
      <c r="C52" s="27" t="s">
        <v>39</v>
      </c>
    </row>
    <row r="53" spans="1:3">
      <c r="A53" s="26">
        <f t="shared" si="1"/>
        <v>46232</v>
      </c>
      <c r="B53" s="27" t="s">
        <v>26</v>
      </c>
      <c r="C53" s="27" t="s">
        <v>39</v>
      </c>
    </row>
  </sheetData>
  <autoFilter ref="A1:C51" xr:uid="{00000000-0001-0000-0100-000000000000}"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F13" sqref="F13"/>
    </sheetView>
  </sheetViews>
  <sheetFormatPr defaultRowHeight="17.25"/>
  <cols>
    <col min="1" max="1" width="11.21875" style="22" bestFit="1" customWidth="1"/>
    <col min="4" max="4" width="11" style="22" customWidth="1"/>
  </cols>
  <sheetData>
    <row r="1" spans="1:4">
      <c r="A1" s="17" t="s">
        <v>28</v>
      </c>
      <c r="B1" s="17" t="s">
        <v>0</v>
      </c>
      <c r="C1" s="17" t="s">
        <v>44</v>
      </c>
      <c r="D1" s="17" t="s">
        <v>29</v>
      </c>
    </row>
    <row r="2" spans="1:4">
      <c r="A2" s="18">
        <v>46231</v>
      </c>
      <c r="B2" s="17" t="s">
        <v>82</v>
      </c>
      <c r="C2" s="17" t="s">
        <v>152</v>
      </c>
      <c r="D2" s="52" t="s">
        <v>79</v>
      </c>
    </row>
    <row r="3" spans="1:4">
      <c r="A3" s="18"/>
      <c r="B3" s="17"/>
      <c r="C3" s="17"/>
      <c r="D3" s="44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tabSelected="1" workbookViewId="0">
      <selection activeCell="F16" sqref="F16"/>
    </sheetView>
  </sheetViews>
  <sheetFormatPr defaultRowHeight="17.25"/>
  <cols>
    <col min="1" max="1" width="9" style="22" bestFit="1" customWidth="1"/>
    <col min="2" max="2" width="12.6640625" style="22" bestFit="1" customWidth="1"/>
    <col min="3" max="3" width="14.5546875" style="22" customWidth="1"/>
  </cols>
  <sheetData>
    <row r="1" spans="1:5" ht="33" customHeight="1">
      <c r="A1" s="13" t="s">
        <v>29</v>
      </c>
      <c r="B1" s="13" t="s">
        <v>45</v>
      </c>
      <c r="C1" s="14" t="s">
        <v>46</v>
      </c>
      <c r="D1" s="14" t="s">
        <v>47</v>
      </c>
      <c r="E1" s="15" t="s">
        <v>3</v>
      </c>
    </row>
    <row r="2" spans="1:5">
      <c r="A2" s="2" t="s">
        <v>34</v>
      </c>
      <c r="B2" s="2" t="s">
        <v>48</v>
      </c>
      <c r="C2" s="9">
        <v>0.75694444444444442</v>
      </c>
      <c r="D2" s="53">
        <v>0.80208333333333337</v>
      </c>
      <c r="E2" s="12"/>
    </row>
    <row r="3" spans="1:5">
      <c r="A3" s="2" t="s">
        <v>40</v>
      </c>
      <c r="B3" s="2" t="s">
        <v>49</v>
      </c>
      <c r="C3" s="9">
        <v>0.80555555555555558</v>
      </c>
      <c r="D3" s="9">
        <v>0.82638888888888884</v>
      </c>
      <c r="E3" s="12"/>
    </row>
    <row r="4" spans="1:5">
      <c r="A4" s="2" t="s">
        <v>41</v>
      </c>
      <c r="B4" s="2" t="s">
        <v>50</v>
      </c>
      <c r="C4" s="9">
        <v>0.21527777777777779</v>
      </c>
      <c r="D4" s="9">
        <v>0.23958333333333334</v>
      </c>
      <c r="E4" s="12"/>
    </row>
    <row r="5" spans="1:5">
      <c r="A5" s="51" t="s">
        <v>147</v>
      </c>
      <c r="B5" s="51" t="s">
        <v>149</v>
      </c>
      <c r="C5" s="9">
        <v>0.58333333333333337</v>
      </c>
      <c r="D5" s="9">
        <v>0.66597222222222219</v>
      </c>
      <c r="E5" s="12"/>
    </row>
    <row r="6" spans="1:5">
      <c r="A6" s="51" t="s">
        <v>150</v>
      </c>
      <c r="B6" s="51" t="s">
        <v>148</v>
      </c>
      <c r="C6" s="9">
        <v>0.58333333333333337</v>
      </c>
      <c r="D6" s="9">
        <v>0.625</v>
      </c>
      <c r="E6" s="12"/>
    </row>
    <row r="7" spans="1:5">
      <c r="A7" s="38" t="s">
        <v>108</v>
      </c>
      <c r="B7" s="38" t="s">
        <v>109</v>
      </c>
      <c r="C7" s="9">
        <v>0.3125</v>
      </c>
      <c r="D7" s="9">
        <v>0.31944444444444442</v>
      </c>
      <c r="E7" s="12"/>
    </row>
    <row r="8" spans="1:5">
      <c r="A8" s="38" t="s">
        <v>110</v>
      </c>
      <c r="B8" s="38" t="s">
        <v>111</v>
      </c>
      <c r="C8" s="9">
        <v>0.24305555555555555</v>
      </c>
      <c r="D8" s="9">
        <v>0.25</v>
      </c>
      <c r="E8" s="12"/>
    </row>
    <row r="9" spans="1:5">
      <c r="A9" s="38" t="s">
        <v>112</v>
      </c>
      <c r="B9" s="38" t="s">
        <v>113</v>
      </c>
      <c r="C9" s="9">
        <v>0.35416666666666669</v>
      </c>
      <c r="D9" s="9">
        <v>0.36458333333333331</v>
      </c>
      <c r="E9" s="12"/>
    </row>
    <row r="10" spans="1:5">
      <c r="A10" s="38" t="s">
        <v>114</v>
      </c>
      <c r="B10" s="38" t="s">
        <v>115</v>
      </c>
      <c r="C10" s="9">
        <v>0.59027777777777779</v>
      </c>
      <c r="D10" s="9">
        <v>0.60416666666666663</v>
      </c>
      <c r="E10" s="12"/>
    </row>
    <row r="11" spans="1:5">
      <c r="A11" s="38" t="s">
        <v>116</v>
      </c>
      <c r="B11" s="38" t="s">
        <v>121</v>
      </c>
      <c r="C11" s="9">
        <v>0.875</v>
      </c>
      <c r="D11" s="9">
        <v>0.88194444444444442</v>
      </c>
      <c r="E11" s="12"/>
    </row>
    <row r="12" spans="1:5">
      <c r="A12" s="38" t="s">
        <v>118</v>
      </c>
      <c r="B12" s="38" t="s">
        <v>123</v>
      </c>
      <c r="C12" s="9">
        <v>0</v>
      </c>
      <c r="D12" s="9">
        <v>6.9444444444444441E-3</v>
      </c>
      <c r="E12" s="12"/>
    </row>
    <row r="13" spans="1:5">
      <c r="A13" s="38" t="s">
        <v>120</v>
      </c>
      <c r="B13" s="38" t="s">
        <v>122</v>
      </c>
      <c r="C13" s="9">
        <v>8.3333333333333329E-2</v>
      </c>
      <c r="D13" s="9">
        <v>9.0277777777777776E-2</v>
      </c>
      <c r="E13" s="12"/>
    </row>
    <row r="14" spans="1:5">
      <c r="A14" s="2" t="s">
        <v>35</v>
      </c>
      <c r="B14" s="47" t="s">
        <v>102</v>
      </c>
      <c r="C14" s="9">
        <v>0.31944444444444442</v>
      </c>
      <c r="D14" s="9">
        <v>0.34652777777777782</v>
      </c>
      <c r="E14" s="12"/>
    </row>
    <row r="15" spans="1:5">
      <c r="A15" s="38" t="s">
        <v>71</v>
      </c>
      <c r="B15" s="47" t="s">
        <v>101</v>
      </c>
      <c r="C15" s="9">
        <v>0.47222222222222221</v>
      </c>
      <c r="D15" s="9">
        <v>0.49305555555555558</v>
      </c>
      <c r="E15" s="12"/>
    </row>
    <row r="16" spans="1:5">
      <c r="A16" s="38" t="s">
        <v>84</v>
      </c>
      <c r="B16" s="47" t="s">
        <v>103</v>
      </c>
      <c r="C16" s="9">
        <v>0.59027777777777779</v>
      </c>
      <c r="D16" s="9">
        <v>0.61111111111111116</v>
      </c>
      <c r="E16" s="12"/>
    </row>
    <row r="17" spans="1:5">
      <c r="A17" s="38" t="s">
        <v>99</v>
      </c>
      <c r="B17" s="51" t="s">
        <v>104</v>
      </c>
      <c r="C17" s="9">
        <v>0.88888888888888884</v>
      </c>
      <c r="D17" s="9">
        <v>0.91319444444444442</v>
      </c>
      <c r="E17" s="12"/>
    </row>
    <row r="18" spans="1:5">
      <c r="A18" s="38" t="s">
        <v>100</v>
      </c>
      <c r="B18" s="51" t="s">
        <v>104</v>
      </c>
      <c r="C18" s="9">
        <v>0.88194444444444442</v>
      </c>
      <c r="D18" s="9">
        <v>0.90972222222222221</v>
      </c>
      <c r="E18" s="12"/>
    </row>
    <row r="19" spans="1:5">
      <c r="A19" s="2" t="s">
        <v>36</v>
      </c>
      <c r="B19" s="2" t="s">
        <v>51</v>
      </c>
      <c r="C19" s="9">
        <v>0.34722222222222221</v>
      </c>
      <c r="D19" s="9">
        <v>0.38819444444444451</v>
      </c>
      <c r="E19" s="12"/>
    </row>
    <row r="20" spans="1:5">
      <c r="A20" s="2" t="s">
        <v>52</v>
      </c>
      <c r="B20" s="2" t="s">
        <v>53</v>
      </c>
      <c r="C20" s="9">
        <v>0.63888888888888884</v>
      </c>
      <c r="D20" s="9">
        <v>0.66597222222222219</v>
      </c>
      <c r="E20" s="12"/>
    </row>
    <row r="21" spans="1:5">
      <c r="A21" s="2" t="s">
        <v>54</v>
      </c>
      <c r="B21" s="2" t="s">
        <v>55</v>
      </c>
      <c r="C21" s="9">
        <v>0.3888888888888889</v>
      </c>
      <c r="D21" s="9">
        <v>0.41597222222222219</v>
      </c>
      <c r="E21" s="12"/>
    </row>
    <row r="22" spans="1:5">
      <c r="A22" s="2" t="s">
        <v>30</v>
      </c>
      <c r="B22" s="19" t="s">
        <v>56</v>
      </c>
      <c r="C22" s="10">
        <v>0.41666666666666669</v>
      </c>
      <c r="D22" s="10">
        <v>0.49930555555555561</v>
      </c>
      <c r="E22" s="20" t="s">
        <v>8</v>
      </c>
    </row>
    <row r="23" spans="1:5">
      <c r="A23" s="2" t="s">
        <v>37</v>
      </c>
      <c r="B23" s="20" t="s">
        <v>56</v>
      </c>
      <c r="C23" s="10">
        <v>0.5</v>
      </c>
      <c r="D23" s="10">
        <v>0.58263888888888893</v>
      </c>
      <c r="E23" s="20" t="s">
        <v>12</v>
      </c>
    </row>
    <row r="24" spans="1:5">
      <c r="A24" s="2" t="s">
        <v>31</v>
      </c>
      <c r="B24" s="20" t="s">
        <v>57</v>
      </c>
      <c r="C24" s="10">
        <v>0.66666666666666663</v>
      </c>
      <c r="D24" s="10">
        <v>0.70763888888888893</v>
      </c>
      <c r="E24" s="20" t="s">
        <v>8</v>
      </c>
    </row>
    <row r="25" spans="1:5">
      <c r="A25" s="2" t="s">
        <v>38</v>
      </c>
      <c r="B25" s="20" t="s">
        <v>57</v>
      </c>
      <c r="C25" s="10">
        <v>0.70833333333333337</v>
      </c>
      <c r="D25" s="10">
        <v>0.74930555555555556</v>
      </c>
      <c r="E25" s="20" t="s">
        <v>12</v>
      </c>
    </row>
    <row r="26" spans="1:5">
      <c r="A26" s="2" t="s">
        <v>32</v>
      </c>
      <c r="B26" s="21" t="s">
        <v>58</v>
      </c>
      <c r="C26" s="10">
        <v>0.91666666666666663</v>
      </c>
      <c r="D26" s="10">
        <v>8.2638888888888887E-2</v>
      </c>
      <c r="E26" s="21" t="s">
        <v>8</v>
      </c>
    </row>
    <row r="27" spans="1:5">
      <c r="A27" s="2" t="s">
        <v>39</v>
      </c>
      <c r="B27" s="21" t="s">
        <v>58</v>
      </c>
      <c r="C27" s="10">
        <v>8.3333333333333329E-2</v>
      </c>
      <c r="D27" s="10">
        <v>0.24930555555555561</v>
      </c>
      <c r="E27" s="21" t="s">
        <v>12</v>
      </c>
    </row>
    <row r="28" spans="1:5">
      <c r="A28" s="23" t="s">
        <v>66</v>
      </c>
      <c r="B28" s="21" t="s">
        <v>67</v>
      </c>
      <c r="C28" s="10">
        <v>0</v>
      </c>
      <c r="D28" s="10">
        <v>0.16666666666666666</v>
      </c>
      <c r="E28" s="21"/>
    </row>
    <row r="29" spans="1:5">
      <c r="A29" s="2" t="s">
        <v>59</v>
      </c>
      <c r="B29" s="2" t="s">
        <v>60</v>
      </c>
      <c r="C29" s="9">
        <v>0.3125</v>
      </c>
      <c r="D29" s="9">
        <v>0.3125</v>
      </c>
      <c r="E29" s="12"/>
    </row>
    <row r="30" spans="1:5">
      <c r="A30" s="2" t="s">
        <v>43</v>
      </c>
      <c r="B30" s="2" t="s">
        <v>61</v>
      </c>
      <c r="C30" s="9">
        <v>0.3125</v>
      </c>
      <c r="D30" s="9">
        <v>0.81180555555555556</v>
      </c>
      <c r="E30" s="12"/>
    </row>
    <row r="31" spans="1:5">
      <c r="A31" s="2" t="s">
        <v>62</v>
      </c>
      <c r="B31" s="2" t="s">
        <v>63</v>
      </c>
      <c r="C31" s="9">
        <v>0.8125</v>
      </c>
      <c r="D31" s="9">
        <v>0.31180555555555561</v>
      </c>
      <c r="E31" s="12"/>
    </row>
    <row r="32" spans="1:5">
      <c r="A32" s="23" t="s">
        <v>78</v>
      </c>
      <c r="B32" s="16" t="s">
        <v>64</v>
      </c>
      <c r="C32" s="10">
        <v>0.3125</v>
      </c>
      <c r="D32" s="10">
        <v>0.3125</v>
      </c>
      <c r="E32" s="12"/>
    </row>
    <row r="33" spans="1:5">
      <c r="A33" s="23" t="s">
        <v>79</v>
      </c>
      <c r="B33" s="16" t="s">
        <v>64</v>
      </c>
      <c r="C33" s="10">
        <v>0.3125</v>
      </c>
      <c r="D33" s="10">
        <v>0.81180555555555556</v>
      </c>
      <c r="E33" s="12"/>
    </row>
    <row r="34" spans="1:5">
      <c r="A34" s="23" t="s">
        <v>80</v>
      </c>
      <c r="B34" s="16" t="s">
        <v>64</v>
      </c>
      <c r="C34" s="10">
        <v>0.8125</v>
      </c>
      <c r="D34" s="10">
        <v>0.31180555555555556</v>
      </c>
      <c r="E34" s="12"/>
    </row>
    <row r="35" spans="1:5">
      <c r="A35" s="38" t="s">
        <v>107</v>
      </c>
      <c r="B35" s="38" t="s">
        <v>106</v>
      </c>
      <c r="C35" s="10">
        <v>0.18402777777777779</v>
      </c>
      <c r="D35" s="10">
        <v>0.21527777777777779</v>
      </c>
      <c r="E35" s="12"/>
    </row>
    <row r="36" spans="1:5">
      <c r="A36" s="23" t="s">
        <v>81</v>
      </c>
      <c r="B36" s="16" t="s">
        <v>64</v>
      </c>
      <c r="C36" s="10">
        <v>0.3125</v>
      </c>
      <c r="D36" s="10">
        <v>0.75</v>
      </c>
      <c r="E36" s="12"/>
    </row>
    <row r="37" spans="1:5">
      <c r="A37"/>
      <c r="B37"/>
      <c r="C37"/>
    </row>
    <row r="38" spans="1:5">
      <c r="A38"/>
      <c r="B38"/>
      <c r="C38"/>
    </row>
    <row r="39" spans="1:5">
      <c r="A39"/>
      <c r="B39"/>
      <c r="C39"/>
    </row>
    <row r="40" spans="1:5">
      <c r="A40"/>
      <c r="B40"/>
      <c r="C40"/>
    </row>
    <row r="41" spans="1:5">
      <c r="A41"/>
      <c r="B41"/>
      <c r="C41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E989-0881-45C6-9EDF-17B997247504}">
  <dimension ref="A1:Z56"/>
  <sheetViews>
    <sheetView topLeftCell="A15" workbookViewId="0">
      <selection activeCell="M1" sqref="M1:N52"/>
    </sheetView>
  </sheetViews>
  <sheetFormatPr defaultRowHeight="17.25"/>
  <cols>
    <col min="1" max="1" width="9" customWidth="1"/>
    <col min="2" max="3" width="5.6640625" style="32" bestFit="1" customWidth="1"/>
    <col min="4" max="4" width="4.5546875" style="32" bestFit="1" customWidth="1"/>
    <col min="5" max="5" width="5.6640625" style="32" bestFit="1" customWidth="1"/>
    <col min="6" max="6" width="4.5546875" style="31" bestFit="1" customWidth="1"/>
    <col min="7" max="8" width="5.5546875" style="31" bestFit="1" customWidth="1"/>
    <col min="9" max="9" width="5.6640625" style="31" bestFit="1" customWidth="1"/>
    <col min="10" max="11" width="5.5546875" style="31" bestFit="1" customWidth="1"/>
    <col min="12" max="12" width="12.77734375" style="31" bestFit="1" customWidth="1"/>
    <col min="13" max="14" width="8.88671875" style="33"/>
    <col min="16" max="16" width="8.6640625" bestFit="1" customWidth="1"/>
    <col min="17" max="17" width="5.6640625" bestFit="1" customWidth="1"/>
    <col min="18" max="26" width="5.33203125" bestFit="1" customWidth="1"/>
  </cols>
  <sheetData>
    <row r="1" spans="1:26">
      <c r="A1" s="35" t="s">
        <v>98</v>
      </c>
      <c r="B1" s="35" t="s">
        <v>82</v>
      </c>
      <c r="C1" s="36" t="s">
        <v>65</v>
      </c>
      <c r="D1" s="49" t="s">
        <v>72</v>
      </c>
      <c r="E1" s="36" t="s">
        <v>94</v>
      </c>
      <c r="F1" s="36" t="s">
        <v>92</v>
      </c>
      <c r="G1" s="36" t="s">
        <v>91</v>
      </c>
      <c r="H1" s="36" t="s">
        <v>93</v>
      </c>
      <c r="I1" s="36" t="s">
        <v>96</v>
      </c>
      <c r="J1" s="36" t="s">
        <v>97</v>
      </c>
      <c r="K1" s="36" t="s">
        <v>95</v>
      </c>
      <c r="L1" s="50">
        <v>46231</v>
      </c>
      <c r="M1" s="33" t="str">
        <f t="array" ref="M1">IFERROR(INDEX($B$1:$K$1,INT((SMALL(IF($B$2:$K$31&lt;&gt;"",(COLUMN($B$2:$K$31)-COLUMN($B$2))*ROWS($A$2:$A$31)+ROW($B$2:$K$31)-ROW($B$2)+1),ROWS($M$1:M1))-1)/ROWS($A$2:$A$31))+1),"")</f>
        <v>이춘도</v>
      </c>
      <c r="N1" s="33" t="str">
        <f t="array" ref="N1">IFERROR(INDEX($A$2:$A$31,MOD(SMALL(IF($B$2:$K$31&lt;&gt;"",(COLUMN($B$2:$K$31)-COLUMN($B$2))*ROWS($A$2:$A$31)+ROW($B$2:$K$31)-ROW($B$2)+1),ROWS($M$1:M1))-1,ROWS($A$2:$A$31))+1),"")</f>
        <v>주-1</v>
      </c>
      <c r="O1" s="39" t="s">
        <v>105</v>
      </c>
      <c r="P1" s="37" t="s">
        <v>98</v>
      </c>
      <c r="Q1" s="35" t="s">
        <v>82</v>
      </c>
      <c r="R1" s="36" t="s">
        <v>65</v>
      </c>
      <c r="S1" s="36" t="s">
        <v>72</v>
      </c>
      <c r="T1" s="36" t="s">
        <v>94</v>
      </c>
      <c r="U1" s="36" t="s">
        <v>92</v>
      </c>
      <c r="V1" s="36" t="s">
        <v>91</v>
      </c>
      <c r="W1" s="36" t="s">
        <v>93</v>
      </c>
      <c r="X1" s="36" t="s">
        <v>96</v>
      </c>
      <c r="Y1" s="36" t="s">
        <v>97</v>
      </c>
      <c r="Z1" s="36" t="s">
        <v>95</v>
      </c>
    </row>
    <row r="2" spans="1:26">
      <c r="A2" s="34" t="s">
        <v>83</v>
      </c>
      <c r="B2" s="30" t="s">
        <v>137</v>
      </c>
      <c r="C2" s="30" t="s">
        <v>138</v>
      </c>
      <c r="D2" s="30"/>
      <c r="E2" s="30" t="s">
        <v>140</v>
      </c>
      <c r="F2" s="30"/>
      <c r="G2" s="30"/>
      <c r="H2" s="30"/>
      <c r="I2" s="30"/>
      <c r="J2" s="30"/>
      <c r="K2" s="30"/>
      <c r="L2" s="48" t="s">
        <v>127</v>
      </c>
      <c r="M2" s="33" t="str">
        <f t="array" ref="M2">IFERROR(INDEX($B$1:$K$1,INT((SMALL(IF($B$2:$K$31&lt;&gt;"",(COLUMN($B$2:$K$31)-COLUMN($B$2))*ROWS($A$2:$A$31)+ROW($B$2:$K$31)-ROW($B$2)+1),ROWS($M$1:M2))-1)/ROWS($A$2:$A$31))+1),"")</f>
        <v>이춘도</v>
      </c>
      <c r="N2" s="33" t="str">
        <f t="array" ref="N2">IFERROR(INDEX($A$2:$A$31,MOD(SMALL(IF($B$2:$K$31&lt;&gt;"",(COLUMN($B$2:$K$31)-COLUMN($B$2))*ROWS($A$2:$A$31)+ROW($B$2:$K$31)-ROW($B$2)+1),ROWS($M$1:M2))-1,ROWS($A$2:$A$31))+1),"")</f>
        <v>휴-1A</v>
      </c>
      <c r="P2" s="34" t="s">
        <v>83</v>
      </c>
      <c r="Q2" s="30"/>
      <c r="R2" s="30"/>
      <c r="S2" s="30" t="s">
        <v>139</v>
      </c>
      <c r="T2" s="30" t="s">
        <v>140</v>
      </c>
      <c r="U2" s="30"/>
      <c r="V2" s="30" t="s">
        <v>142</v>
      </c>
      <c r="W2" s="30"/>
      <c r="X2" s="30"/>
      <c r="Y2" s="30"/>
      <c r="Z2" s="30"/>
    </row>
    <row r="3" spans="1:26">
      <c r="A3" s="34" t="s">
        <v>88</v>
      </c>
      <c r="B3" s="30" t="s">
        <v>137</v>
      </c>
      <c r="C3" s="30" t="s">
        <v>138</v>
      </c>
      <c r="D3" s="30"/>
      <c r="E3" s="30" t="s">
        <v>140</v>
      </c>
      <c r="F3" s="30"/>
      <c r="G3" s="30"/>
      <c r="H3" s="30"/>
      <c r="I3" s="30" t="s">
        <v>144</v>
      </c>
      <c r="J3" s="30"/>
      <c r="K3" s="30"/>
      <c r="M3" s="33" t="str">
        <f t="array" ref="M3">IFERROR(INDEX($B$1:$K$1,INT((SMALL(IF($B$2:$K$31&lt;&gt;"",(COLUMN($B$2:$K$31)-COLUMN($B$2))*ROWS($A$2:$A$31)+ROW($B$2:$K$31)-ROW($B$2)+1),ROWS($M$1:M3))-1)/ROWS($A$2:$A$31))+1),"")</f>
        <v>이춘도</v>
      </c>
      <c r="N3" s="33" t="str">
        <f t="array" ref="N3">IFERROR(INDEX($A$2:$A$31,MOD(SMALL(IF($B$2:$K$31&lt;&gt;"",(COLUMN($B$2:$K$31)-COLUMN($B$2))*ROWS($A$2:$A$31)+ROW($B$2:$K$31)-ROW($B$2)+1),ROWS($M$1:M3))-1,ROWS($A$2:$A$31))+1),"")</f>
        <v>휴-2A</v>
      </c>
      <c r="P3" s="34" t="s">
        <v>88</v>
      </c>
      <c r="Q3" s="30" t="s">
        <v>137</v>
      </c>
      <c r="R3" s="30"/>
      <c r="S3" s="30"/>
      <c r="T3" s="30" t="s">
        <v>140</v>
      </c>
      <c r="U3" s="30"/>
      <c r="V3" s="30" t="s">
        <v>142</v>
      </c>
      <c r="W3" s="30"/>
      <c r="X3" s="30" t="s">
        <v>144</v>
      </c>
      <c r="Y3" s="30"/>
      <c r="Z3" s="30"/>
    </row>
    <row r="4" spans="1:26">
      <c r="A4" s="29" t="s">
        <v>71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48" t="s">
        <v>128</v>
      </c>
      <c r="M4" s="33" t="str">
        <f t="array" ref="M4">IFERROR(INDEX($B$1:$K$1,INT((SMALL(IF($B$2:$K$31&lt;&gt;"",(COLUMN($B$2:$K$31)-COLUMN($B$2))*ROWS($A$2:$A$31)+ROW($B$2:$K$31)-ROW($B$2)+1),ROWS($M$1:M4))-1)/ROWS($A$2:$A$31))+1),"")</f>
        <v>이춘도</v>
      </c>
      <c r="N4" s="33" t="str">
        <f t="array" ref="N4">IFERROR(INDEX($A$2:$A$31,MOD(SMALL(IF($B$2:$K$31&lt;&gt;"",(COLUMN($B$2:$K$31)-COLUMN($B$2))*ROWS($A$2:$A$31)+ROW($B$2:$K$31)-ROW($B$2)+1),ROWS($M$1:M4))-1,ROWS($A$2:$A$31))+1),"")</f>
        <v>휴-3B</v>
      </c>
      <c r="P4" s="29" t="s">
        <v>71</v>
      </c>
      <c r="Q4" s="30"/>
      <c r="R4" s="30"/>
      <c r="S4" s="30" t="s">
        <v>139</v>
      </c>
      <c r="T4" s="30"/>
      <c r="U4" s="30" t="s">
        <v>141</v>
      </c>
      <c r="V4" s="30" t="s">
        <v>142</v>
      </c>
      <c r="W4" s="30"/>
      <c r="X4" s="30"/>
      <c r="Y4" s="30"/>
      <c r="Z4" s="30"/>
    </row>
    <row r="5" spans="1:26">
      <c r="A5" s="29" t="s">
        <v>68</v>
      </c>
      <c r="B5" s="30"/>
      <c r="C5" s="30" t="s">
        <v>138</v>
      </c>
      <c r="D5" s="30" t="s">
        <v>139</v>
      </c>
      <c r="E5" s="30"/>
      <c r="F5" s="30" t="s">
        <v>141</v>
      </c>
      <c r="G5" s="30"/>
      <c r="H5" s="30" t="s">
        <v>143</v>
      </c>
      <c r="I5" s="30"/>
      <c r="J5" s="30" t="s">
        <v>145</v>
      </c>
      <c r="K5" s="30"/>
      <c r="M5" s="33" t="str">
        <f t="array" ref="M5">IFERROR(INDEX($B$1:$K$1,INT((SMALL(IF($B$2:$K$31&lt;&gt;"",(COLUMN($B$2:$K$31)-COLUMN($B$2))*ROWS($A$2:$A$31)+ROW($B$2:$K$31)-ROW($B$2)+1),ROWS($M$1:M5))-1)/ROWS($A$2:$A$31))+1),"")</f>
        <v>이춘도</v>
      </c>
      <c r="N5" s="33" t="str">
        <f t="array" ref="N5">IFERROR(INDEX($A$2:$A$31,MOD(SMALL(IF($B$2:$K$31&lt;&gt;"",(COLUMN($B$2:$K$31)-COLUMN($B$2))*ROWS($A$2:$A$31)+ROW($B$2:$K$31)-ROW($B$2)+1),ROWS($M$1:M5))-1,ROWS($A$2:$A$31))+1),"")</f>
        <v>주-3</v>
      </c>
      <c r="P5" s="29" t="s">
        <v>68</v>
      </c>
      <c r="Q5" s="30"/>
      <c r="R5" s="30" t="s">
        <v>138</v>
      </c>
      <c r="S5" s="30" t="s">
        <v>139</v>
      </c>
      <c r="T5" s="30"/>
      <c r="U5" s="30" t="s">
        <v>141</v>
      </c>
      <c r="V5" s="30"/>
      <c r="W5" s="30" t="s">
        <v>143</v>
      </c>
      <c r="X5" s="30"/>
      <c r="Y5" s="30" t="s">
        <v>145</v>
      </c>
      <c r="Z5" s="30" t="s">
        <v>146</v>
      </c>
    </row>
    <row r="6" spans="1:26">
      <c r="A6" s="29" t="s">
        <v>89</v>
      </c>
      <c r="B6" s="30" t="s">
        <v>137</v>
      </c>
      <c r="C6" s="30"/>
      <c r="D6" s="30"/>
      <c r="E6" s="30" t="s">
        <v>140</v>
      </c>
      <c r="F6" s="30"/>
      <c r="G6" s="30"/>
      <c r="H6" s="30"/>
      <c r="I6" s="30" t="s">
        <v>144</v>
      </c>
      <c r="J6" s="30"/>
      <c r="K6" s="30"/>
      <c r="M6" s="33" t="str">
        <f t="array" ref="M6">IFERROR(INDEX($B$1:$K$1,INT((SMALL(IF($B$2:$K$31&lt;&gt;"",(COLUMN($B$2:$K$31)-COLUMN($B$2))*ROWS($A$2:$A$31)+ROW($B$2:$K$31)-ROW($B$2)+1),ROWS($M$1:M6))-1)/ROWS($A$2:$A$31))+1),"")</f>
        <v>이근재</v>
      </c>
      <c r="N6" s="33" t="str">
        <f t="array" ref="N6">IFERROR(INDEX($A$2:$A$31,MOD(SMALL(IF($B$2:$K$31&lt;&gt;"",(COLUMN($B$2:$K$31)-COLUMN($B$2))*ROWS($A$2:$A$31)+ROW($B$2:$K$31)-ROW($B$2)+1),ROWS($M$1:M6))-1,ROWS($A$2:$A$31))+1),"")</f>
        <v>주-1</v>
      </c>
      <c r="P6" s="29" t="s">
        <v>89</v>
      </c>
      <c r="Q6" s="30" t="s">
        <v>137</v>
      </c>
      <c r="R6" s="30"/>
      <c r="S6" s="30"/>
      <c r="T6" s="30" t="s">
        <v>140</v>
      </c>
      <c r="U6" s="30"/>
      <c r="V6" s="30" t="s">
        <v>142</v>
      </c>
      <c r="W6" s="30"/>
      <c r="X6" s="30" t="s">
        <v>144</v>
      </c>
      <c r="Y6" s="30"/>
      <c r="Z6" s="30"/>
    </row>
    <row r="7" spans="1:26">
      <c r="A7" s="29" t="s">
        <v>76</v>
      </c>
      <c r="B7" s="30"/>
      <c r="C7" s="30" t="s">
        <v>138</v>
      </c>
      <c r="D7" s="30" t="s">
        <v>139</v>
      </c>
      <c r="E7" s="30"/>
      <c r="F7" s="30" t="s">
        <v>141</v>
      </c>
      <c r="G7" s="30"/>
      <c r="H7" s="30" t="s">
        <v>143</v>
      </c>
      <c r="I7" s="30"/>
      <c r="J7" s="30" t="s">
        <v>145</v>
      </c>
      <c r="K7" s="30"/>
      <c r="M7" s="33" t="str">
        <f t="array" ref="M7">IFERROR(INDEX($B$1:$K$1,INT((SMALL(IF($B$2:$K$31&lt;&gt;"",(COLUMN($B$2:$K$31)-COLUMN($B$2))*ROWS($A$2:$A$31)+ROW($B$2:$K$31)-ROW($B$2)+1),ROWS($M$1:M7))-1)/ROWS($A$2:$A$31))+1),"")</f>
        <v>이근재</v>
      </c>
      <c r="N7" s="33" t="str">
        <f t="array" ref="N7">IFERROR(INDEX($A$2:$A$31,MOD(SMALL(IF($B$2:$K$31&lt;&gt;"",(COLUMN($B$2:$K$31)-COLUMN($B$2))*ROWS($A$2:$A$31)+ROW($B$2:$K$31)-ROW($B$2)+1),ROWS($M$1:M7))-1,ROWS($A$2:$A$31))+1),"")</f>
        <v>휴-1A</v>
      </c>
      <c r="P7" s="29" t="s">
        <v>76</v>
      </c>
      <c r="Q7" s="30"/>
      <c r="R7" s="30" t="s">
        <v>138</v>
      </c>
      <c r="S7" s="30" t="s">
        <v>139</v>
      </c>
      <c r="T7" s="30"/>
      <c r="U7" s="30" t="s">
        <v>141</v>
      </c>
      <c r="V7" s="30"/>
      <c r="W7" s="30" t="s">
        <v>143</v>
      </c>
      <c r="X7" s="30"/>
      <c r="Y7" s="30" t="s">
        <v>145</v>
      </c>
      <c r="Z7" s="30" t="s">
        <v>146</v>
      </c>
    </row>
    <row r="8" spans="1:26">
      <c r="A8" s="29" t="s">
        <v>86</v>
      </c>
      <c r="B8" s="30"/>
      <c r="C8" s="30"/>
      <c r="D8" s="30" t="s">
        <v>139</v>
      </c>
      <c r="E8" s="30" t="s">
        <v>140</v>
      </c>
      <c r="F8" s="30"/>
      <c r="G8" s="30"/>
      <c r="H8" s="30" t="s">
        <v>143</v>
      </c>
      <c r="I8" s="30"/>
      <c r="J8" s="30"/>
      <c r="K8" s="30"/>
      <c r="M8" s="33" t="str">
        <f t="array" ref="M8">IFERROR(INDEX($B$1:$K$1,INT((SMALL(IF($B$2:$K$31&lt;&gt;"",(COLUMN($B$2:$K$31)-COLUMN($B$2))*ROWS($A$2:$A$31)+ROW($B$2:$K$31)-ROW($B$2)+1),ROWS($M$1:M8))-1)/ROWS($A$2:$A$31))+1),"")</f>
        <v>이근재</v>
      </c>
      <c r="N8" s="33" t="str">
        <f t="array" ref="N8">IFERROR(INDEX($A$2:$A$31,MOD(SMALL(IF($B$2:$K$31&lt;&gt;"",(COLUMN($B$2:$K$31)-COLUMN($B$2))*ROWS($A$2:$A$31)+ROW($B$2:$K$31)-ROW($B$2)+1),ROWS($M$1:M8))-1,ROWS($A$2:$A$31))+1),"")</f>
        <v>휴-1B</v>
      </c>
      <c r="P8" s="29" t="s">
        <v>86</v>
      </c>
      <c r="Q8" s="30"/>
      <c r="R8" s="30" t="s">
        <v>138</v>
      </c>
      <c r="S8" s="30" t="s">
        <v>139</v>
      </c>
      <c r="T8" s="30" t="s">
        <v>140</v>
      </c>
      <c r="U8" s="30"/>
      <c r="V8" s="30"/>
      <c r="W8" s="30" t="s">
        <v>143</v>
      </c>
      <c r="X8" s="30"/>
      <c r="Y8" s="30"/>
      <c r="Z8" s="30"/>
    </row>
    <row r="9" spans="1:26">
      <c r="A9" s="29" t="s">
        <v>85</v>
      </c>
      <c r="B9" s="30"/>
      <c r="C9" s="30" t="s">
        <v>138</v>
      </c>
      <c r="D9" s="30"/>
      <c r="E9" s="30"/>
      <c r="F9" s="30" t="s">
        <v>141</v>
      </c>
      <c r="G9" s="30"/>
      <c r="H9" s="30" t="s">
        <v>143</v>
      </c>
      <c r="I9" s="30"/>
      <c r="J9" s="30"/>
      <c r="K9" s="30"/>
      <c r="M9" s="33" t="str">
        <f t="array" ref="M9">IFERROR(INDEX($B$1:$K$1,INT((SMALL(IF($B$2:$K$31&lt;&gt;"",(COLUMN($B$2:$K$31)-COLUMN($B$2))*ROWS($A$2:$A$31)+ROW($B$2:$K$31)-ROW($B$2)+1),ROWS($M$1:M9))-1)/ROWS($A$2:$A$31))+1),"")</f>
        <v>이근재</v>
      </c>
      <c r="N9" s="33" t="str">
        <f t="array" ref="N9">IFERROR(INDEX($A$2:$A$31,MOD(SMALL(IF($B$2:$K$31&lt;&gt;"",(COLUMN($B$2:$K$31)-COLUMN($B$2))*ROWS($A$2:$A$31)+ROW($B$2:$K$31)-ROW($B$2)+1),ROWS($M$1:M9))-1,ROWS($A$2:$A$31))+1),"")</f>
        <v>휴-2B</v>
      </c>
      <c r="P9" s="29" t="s">
        <v>85</v>
      </c>
      <c r="Q9" s="30" t="s">
        <v>137</v>
      </c>
      <c r="R9" s="30" t="s">
        <v>138</v>
      </c>
      <c r="S9" s="30"/>
      <c r="T9" s="30"/>
      <c r="U9" s="30" t="s">
        <v>141</v>
      </c>
      <c r="V9" s="30" t="s">
        <v>142</v>
      </c>
      <c r="W9" s="30"/>
      <c r="X9" s="30"/>
      <c r="Y9" s="30"/>
      <c r="Z9" s="30"/>
    </row>
    <row r="10" spans="1:26">
      <c r="A10" s="54" t="s">
        <v>99</v>
      </c>
      <c r="B10" s="30"/>
      <c r="C10" s="30"/>
      <c r="D10" s="30" t="s">
        <v>139</v>
      </c>
      <c r="E10" s="30"/>
      <c r="F10" s="30" t="s">
        <v>141</v>
      </c>
      <c r="G10" s="30" t="s">
        <v>142</v>
      </c>
      <c r="H10" s="30"/>
      <c r="I10" s="30"/>
      <c r="J10" s="30"/>
      <c r="K10" s="30"/>
      <c r="L10" s="48" t="s">
        <v>129</v>
      </c>
      <c r="M10" s="33" t="str">
        <f t="array" ref="M10">IFERROR(INDEX($B$1:$K$1,INT((SMALL(IF($B$2:$K$31&lt;&gt;"",(COLUMN($B$2:$K$31)-COLUMN($B$2))*ROWS($A$2:$A$31)+ROW($B$2:$K$31)-ROW($B$2)+1),ROWS($M$1:M10))-1)/ROWS($A$2:$A$31))+1),"")</f>
        <v>이근재</v>
      </c>
      <c r="N10" s="33" t="str">
        <f t="array" ref="N10">IFERROR(INDEX($A$2:$A$31,MOD(SMALL(IF($B$2:$K$31&lt;&gt;"",(COLUMN($B$2:$K$31)-COLUMN($B$2))*ROWS($A$2:$A$31)+ROW($B$2:$K$31)-ROW($B$2)+1),ROWS($M$1:M10))-1,ROWS($A$2:$A$31))+1),"")</f>
        <v>게-1</v>
      </c>
      <c r="P10" s="29" t="s">
        <v>100</v>
      </c>
      <c r="Q10" s="30"/>
      <c r="R10" s="30" t="s">
        <v>138</v>
      </c>
      <c r="S10" s="30" t="s">
        <v>139</v>
      </c>
      <c r="T10" s="30"/>
      <c r="U10" s="30" t="s">
        <v>141</v>
      </c>
      <c r="V10" s="30" t="s">
        <v>142</v>
      </c>
      <c r="W10" s="30"/>
      <c r="X10" s="30"/>
      <c r="Y10" s="30"/>
      <c r="Z10" s="30"/>
    </row>
    <row r="11" spans="1:26">
      <c r="A11" s="29" t="s">
        <v>69</v>
      </c>
      <c r="B11" s="30"/>
      <c r="C11" s="30" t="s">
        <v>138</v>
      </c>
      <c r="D11" s="30" t="s">
        <v>139</v>
      </c>
      <c r="E11" s="30" t="s">
        <v>140</v>
      </c>
      <c r="F11" s="30"/>
      <c r="G11" s="30" t="s">
        <v>142</v>
      </c>
      <c r="H11" s="30"/>
      <c r="I11" s="30" t="s">
        <v>144</v>
      </c>
      <c r="J11" s="30"/>
      <c r="K11" s="30"/>
      <c r="M11" s="33" t="str">
        <f t="array" ref="M11">IFERROR(INDEX($B$1:$K$1,INT((SMALL(IF($B$2:$K$31&lt;&gt;"",(COLUMN($B$2:$K$31)-COLUMN($B$2))*ROWS($A$2:$A$31)+ROW($B$2:$K$31)-ROW($B$2)+1),ROWS($M$1:M11))-1)/ROWS($A$2:$A$31))+1),"")</f>
        <v>이근재</v>
      </c>
      <c r="N11" s="33" t="str">
        <f t="array" ref="N11">IFERROR(INDEX($A$2:$A$31,MOD(SMALL(IF($B$2:$K$31&lt;&gt;"",(COLUMN($B$2:$K$31)-COLUMN($B$2))*ROWS($A$2:$A$31)+ROW($B$2:$K$31)-ROW($B$2)+1),ROWS($M$1:M11))-1,ROWS($A$2:$A$31))+1),"")</f>
        <v>휴-3A</v>
      </c>
      <c r="P11" s="29" t="s">
        <v>69</v>
      </c>
      <c r="Q11" s="30"/>
      <c r="R11" s="30" t="s">
        <v>138</v>
      </c>
      <c r="S11" s="30" t="s">
        <v>139</v>
      </c>
      <c r="T11" s="30" t="s">
        <v>140</v>
      </c>
      <c r="U11" s="30"/>
      <c r="V11" s="30" t="s">
        <v>142</v>
      </c>
      <c r="W11" s="30"/>
      <c r="X11" s="30" t="s">
        <v>144</v>
      </c>
      <c r="Y11" s="30"/>
      <c r="Z11" s="30"/>
    </row>
    <row r="12" spans="1:26">
      <c r="A12" s="29" t="s">
        <v>66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M12" s="33" t="str">
        <f t="array" ref="M12">IFERROR(INDEX($B$1:$K$1,INT((SMALL(IF($B$2:$K$31&lt;&gt;"",(COLUMN($B$2:$K$31)-COLUMN($B$2))*ROWS($A$2:$A$31)+ROW($B$2:$K$31)-ROW($B$2)+1),ROWS($M$1:M12))-1)/ROWS($A$2:$A$31))+1),"")</f>
        <v>이학근</v>
      </c>
      <c r="N12" s="33" t="str">
        <f t="array" ref="N12">IFERROR(INDEX($A$2:$A$31,MOD(SMALL(IF($B$2:$K$31&lt;&gt;"",(COLUMN($B$2:$K$31)-COLUMN($B$2))*ROWS($A$2:$A$31)+ROW($B$2:$K$31)-ROW($B$2)+1),ROWS($M$1:M12))-1,ROWS($A$2:$A$31))+1),"")</f>
        <v>휴-1B</v>
      </c>
      <c r="P12" s="29" t="s">
        <v>66</v>
      </c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>
      <c r="A13" s="29" t="s">
        <v>75</v>
      </c>
      <c r="B13" s="30" t="s">
        <v>137</v>
      </c>
      <c r="C13" s="30"/>
      <c r="D13" s="30"/>
      <c r="E13" s="30"/>
      <c r="F13" s="30" t="s">
        <v>141</v>
      </c>
      <c r="G13" s="30"/>
      <c r="H13" s="30" t="s">
        <v>143</v>
      </c>
      <c r="I13" s="30"/>
      <c r="J13" s="30" t="s">
        <v>145</v>
      </c>
      <c r="K13" s="30" t="s">
        <v>146</v>
      </c>
      <c r="M13" s="33" t="str">
        <f t="array" ref="M13">IFERROR(INDEX($B$1:$K$1,INT((SMALL(IF($B$2:$K$31&lt;&gt;"",(COLUMN($B$2:$K$31)-COLUMN($B$2))*ROWS($A$2:$A$31)+ROW($B$2:$K$31)-ROW($B$2)+1),ROWS($M$1:M13))-1)/ROWS($A$2:$A$31))+1),"")</f>
        <v>이학근</v>
      </c>
      <c r="N13" s="33" t="str">
        <f t="array" ref="N13">IFERROR(INDEX($A$2:$A$31,MOD(SMALL(IF($B$2:$K$31&lt;&gt;"",(COLUMN($B$2:$K$31)-COLUMN($B$2))*ROWS($A$2:$A$31)+ROW($B$2:$K$31)-ROW($B$2)+1),ROWS($M$1:M13))-1,ROWS($A$2:$A$31))+1),"")</f>
        <v>휴-2B</v>
      </c>
      <c r="P13" s="29" t="s">
        <v>75</v>
      </c>
      <c r="Q13" s="30" t="s">
        <v>137</v>
      </c>
      <c r="R13" s="30"/>
      <c r="S13" s="30"/>
      <c r="T13" s="30"/>
      <c r="U13" s="30" t="s">
        <v>141</v>
      </c>
      <c r="V13" s="30"/>
      <c r="W13" s="30" t="s">
        <v>143</v>
      </c>
      <c r="X13" s="30"/>
      <c r="Y13" s="30" t="s">
        <v>145</v>
      </c>
      <c r="Z13" s="30" t="s">
        <v>146</v>
      </c>
    </row>
    <row r="14" spans="1:26">
      <c r="A14" s="29" t="s">
        <v>87</v>
      </c>
      <c r="B14" s="30"/>
      <c r="C14" s="30"/>
      <c r="D14" s="30" t="s">
        <v>139</v>
      </c>
      <c r="E14" s="30" t="s">
        <v>140</v>
      </c>
      <c r="F14" s="30"/>
      <c r="G14" s="30" t="s">
        <v>142</v>
      </c>
      <c r="H14" s="30"/>
      <c r="I14" s="30"/>
      <c r="J14" s="30"/>
      <c r="K14" s="30"/>
      <c r="M14" s="33" t="str">
        <f t="array" ref="M14">IFERROR(INDEX($B$1:$K$1,INT((SMALL(IF($B$2:$K$31&lt;&gt;"",(COLUMN($B$2:$K$31)-COLUMN($B$2))*ROWS($A$2:$A$31)+ROW($B$2:$K$31)-ROW($B$2)+1),ROWS($M$1:M14))-1)/ROWS($A$2:$A$31))+1),"")</f>
        <v>이학근</v>
      </c>
      <c r="N14" s="33" t="str">
        <f t="array" ref="N14">IFERROR(INDEX($A$2:$A$31,MOD(SMALL(IF($B$2:$K$31&lt;&gt;"",(COLUMN($B$2:$K$31)-COLUMN($B$2))*ROWS($A$2:$A$31)+ROW($B$2:$K$31)-ROW($B$2)+1),ROWS($M$1:M14))-1,ROWS($A$2:$A$31))+1),"")</f>
        <v>점-1</v>
      </c>
      <c r="P14" s="29" t="s">
        <v>87</v>
      </c>
      <c r="Q14" s="30"/>
      <c r="R14" s="30"/>
      <c r="S14" s="30" t="s">
        <v>139</v>
      </c>
      <c r="T14" s="30" t="s">
        <v>140</v>
      </c>
      <c r="U14" s="30"/>
      <c r="V14" s="30" t="s">
        <v>142</v>
      </c>
      <c r="W14" s="30"/>
      <c r="X14" s="30"/>
      <c r="Y14" s="30"/>
      <c r="Z14" s="30"/>
    </row>
    <row r="15" spans="1:26">
      <c r="A15" s="29" t="s">
        <v>108</v>
      </c>
      <c r="B15" s="30"/>
      <c r="C15" s="30"/>
      <c r="D15" s="30"/>
      <c r="E15" s="30"/>
      <c r="F15" s="30"/>
      <c r="G15" s="30" t="s">
        <v>142</v>
      </c>
      <c r="H15" s="30"/>
      <c r="I15" s="30"/>
      <c r="J15" s="30"/>
      <c r="K15" s="30"/>
      <c r="M15" s="33" t="str">
        <f t="array" ref="M15">IFERROR(INDEX($B$1:$K$1,INT((SMALL(IF($B$2:$K$31&lt;&gt;"",(COLUMN($B$2:$K$31)-COLUMN($B$2))*ROWS($A$2:$A$31)+ROW($B$2:$K$31)-ROW($B$2)+1),ROWS($M$1:M15))-1)/ROWS($A$2:$A$31))+1),"")</f>
        <v>이학근</v>
      </c>
      <c r="N15" s="33" t="str">
        <f t="array" ref="N15">IFERROR(INDEX($A$2:$A$31,MOD(SMALL(IF($B$2:$K$31&lt;&gt;"",(COLUMN($B$2:$K$31)-COLUMN($B$2))*ROWS($A$2:$A$31)+ROW($B$2:$K$31)-ROW($B$2)+1),ROWS($M$1:M15))-1,ROWS($A$2:$A$31))+1),"")</f>
        <v>주-4</v>
      </c>
      <c r="P15" s="29" t="s">
        <v>108</v>
      </c>
      <c r="Q15" s="30"/>
      <c r="R15" s="30"/>
      <c r="S15" s="30"/>
      <c r="T15" s="30"/>
      <c r="U15" s="30"/>
      <c r="V15" s="30" t="s">
        <v>142</v>
      </c>
      <c r="W15" s="30"/>
      <c r="X15" s="30"/>
      <c r="Y15" s="30"/>
      <c r="Z15" s="30"/>
    </row>
    <row r="16" spans="1:26">
      <c r="A16" s="29" t="s">
        <v>116</v>
      </c>
      <c r="B16" s="30"/>
      <c r="C16" s="30"/>
      <c r="D16" s="30"/>
      <c r="E16" s="30"/>
      <c r="F16" s="30"/>
      <c r="G16" s="30"/>
      <c r="H16" s="30" t="s">
        <v>143</v>
      </c>
      <c r="I16" s="30"/>
      <c r="J16" s="30"/>
      <c r="K16" s="30"/>
      <c r="M16" s="33" t="str">
        <f t="array" ref="M16">IFERROR(INDEX($B$1:$K$1,INT((SMALL(IF($B$2:$K$31&lt;&gt;"",(COLUMN($B$2:$K$31)-COLUMN($B$2))*ROWS($A$2:$A$31)+ROW($B$2:$K$31)-ROW($B$2)+1),ROWS($M$1:M16))-1)/ROWS($A$2:$A$31))+1),"")</f>
        <v>이학근</v>
      </c>
      <c r="N16" s="33" t="str">
        <f t="array" ref="N16">IFERROR(INDEX($A$2:$A$31,MOD(SMALL(IF($B$2:$K$31&lt;&gt;"",(COLUMN($B$2:$K$31)-COLUMN($B$2))*ROWS($A$2:$A$31)+ROW($B$2:$K$31)-ROW($B$2)+1),ROWS($M$1:M16))-1,ROWS($A$2:$A$31))+1),"")</f>
        <v>휴-3A</v>
      </c>
      <c r="P16" s="29" t="s">
        <v>116</v>
      </c>
      <c r="Q16" s="30"/>
      <c r="R16" s="30"/>
      <c r="S16" s="30"/>
      <c r="T16" s="30"/>
      <c r="U16" s="30"/>
      <c r="V16" s="30"/>
      <c r="W16" s="30" t="s">
        <v>143</v>
      </c>
      <c r="X16" s="30"/>
      <c r="Y16" s="30"/>
      <c r="Z16" s="30"/>
    </row>
    <row r="17" spans="1:26">
      <c r="A17" s="29" t="s">
        <v>117</v>
      </c>
      <c r="B17" s="30"/>
      <c r="C17" s="30"/>
      <c r="D17" s="30"/>
      <c r="E17" s="30"/>
      <c r="F17" s="30"/>
      <c r="G17" s="30"/>
      <c r="H17" s="30" t="s">
        <v>143</v>
      </c>
      <c r="I17" s="30"/>
      <c r="J17" s="30"/>
      <c r="K17" s="30"/>
      <c r="M17" s="33" t="str">
        <f t="array" ref="M17">IFERROR(INDEX($B$1:$K$1,INT((SMALL(IF($B$2:$K$31&lt;&gt;"",(COLUMN($B$2:$K$31)-COLUMN($B$2))*ROWS($A$2:$A$31)+ROW($B$2:$K$31)-ROW($B$2)+1),ROWS($M$1:M17))-1)/ROWS($A$2:$A$31))+1),"")</f>
        <v>이학근</v>
      </c>
      <c r="N17" s="33" t="str">
        <f t="array" ref="N17">IFERROR(INDEX($A$2:$A$31,MOD(SMALL(IF($B$2:$K$31&lt;&gt;"",(COLUMN($B$2:$K$31)-COLUMN($B$2))*ROWS($A$2:$A$31)+ROW($B$2:$K$31)-ROW($B$2)+1),ROWS($M$1:M17))-1,ROWS($A$2:$A$31))+1),"")</f>
        <v>소-1</v>
      </c>
      <c r="P17" s="29" t="s">
        <v>117</v>
      </c>
      <c r="Q17" s="30"/>
      <c r="R17" s="30"/>
      <c r="S17" s="30"/>
      <c r="T17" s="30"/>
      <c r="U17" s="30"/>
      <c r="V17" s="30"/>
      <c r="W17" s="30" t="s">
        <v>143</v>
      </c>
      <c r="X17" s="30"/>
      <c r="Y17" s="30"/>
      <c r="Z17" s="30"/>
    </row>
    <row r="18" spans="1:26">
      <c r="A18" s="29" t="s">
        <v>119</v>
      </c>
      <c r="B18" s="30"/>
      <c r="C18" s="30"/>
      <c r="D18" s="30"/>
      <c r="E18" s="30"/>
      <c r="F18" s="30"/>
      <c r="G18" s="30" t="s">
        <v>142</v>
      </c>
      <c r="H18" s="30"/>
      <c r="I18" s="30"/>
      <c r="J18" s="30"/>
      <c r="K18" s="30"/>
      <c r="L18" s="31" t="s">
        <v>136</v>
      </c>
      <c r="M18" s="33" t="str">
        <f t="array" ref="M18">IFERROR(INDEX($B$1:$K$1,INT((SMALL(IF($B$2:$K$31&lt;&gt;"",(COLUMN($B$2:$K$31)-COLUMN($B$2))*ROWS($A$2:$A$31)+ROW($B$2:$K$31)-ROW($B$2)+1),ROWS($M$1:M18))-1)/ROWS($A$2:$A$31))+1),"")</f>
        <v>이학근</v>
      </c>
      <c r="N18" s="33" t="str">
        <f t="array" ref="N18">IFERROR(INDEX($A$2:$A$31,MOD(SMALL(IF($B$2:$K$31&lt;&gt;"",(COLUMN($B$2:$K$31)-COLUMN($B$2))*ROWS($A$2:$A$31)+ROW($B$2:$K$31)-ROW($B$2)+1),ROWS($M$1:M18))-1,ROWS($A$2:$A$31))+1),"")</f>
        <v>주-3</v>
      </c>
      <c r="P18" s="29" t="s">
        <v>119</v>
      </c>
      <c r="Q18" s="30"/>
      <c r="R18" s="30"/>
      <c r="S18" s="30"/>
      <c r="T18" s="30"/>
      <c r="U18" s="30"/>
      <c r="V18" s="30" t="s">
        <v>142</v>
      </c>
      <c r="W18" s="30"/>
      <c r="X18" s="30"/>
      <c r="Y18" s="30"/>
      <c r="Z18" s="30"/>
    </row>
    <row r="19" spans="1:26">
      <c r="A19" s="29" t="s">
        <v>110</v>
      </c>
      <c r="B19" s="30"/>
      <c r="C19" s="30"/>
      <c r="D19" s="30"/>
      <c r="E19" s="30"/>
      <c r="F19" s="30"/>
      <c r="G19" s="30" t="s">
        <v>142</v>
      </c>
      <c r="H19" s="30"/>
      <c r="I19" s="30"/>
      <c r="J19" s="30"/>
      <c r="K19" s="30"/>
      <c r="L19" s="31" t="s">
        <v>135</v>
      </c>
      <c r="M19" s="33" t="str">
        <f t="array" ref="M19">IFERROR(INDEX($B$1:$K$1,INT((SMALL(IF($B$2:$K$31&lt;&gt;"",(COLUMN($B$2:$K$31)-COLUMN($B$2))*ROWS($A$2:$A$31)+ROW($B$2:$K$31)-ROW($B$2)+1),ROWS($M$1:M19))-1)/ROWS($A$2:$A$31))+1),"")</f>
        <v>정창화</v>
      </c>
      <c r="N19" s="33" t="str">
        <f t="array" ref="N19">IFERROR(INDEX($A$2:$A$31,MOD(SMALL(IF($B$2:$K$31&lt;&gt;"",(COLUMN($B$2:$K$31)-COLUMN($B$2))*ROWS($A$2:$A$31)+ROW($B$2:$K$31)-ROW($B$2)+1),ROWS($M$1:M19))-1,ROWS($A$2:$A$31))+1),"")</f>
        <v>주-1</v>
      </c>
      <c r="P19" s="29" t="s">
        <v>110</v>
      </c>
      <c r="Q19" s="30"/>
      <c r="R19" s="30"/>
      <c r="S19" s="30"/>
      <c r="T19" s="30"/>
      <c r="U19" s="30"/>
      <c r="V19" s="30" t="s">
        <v>142</v>
      </c>
      <c r="W19" s="30"/>
      <c r="X19" s="30"/>
      <c r="Y19" s="30"/>
      <c r="Z19" s="30"/>
    </row>
    <row r="20" spans="1:26">
      <c r="A20" s="46" t="s">
        <v>84</v>
      </c>
      <c r="B20" s="45" t="s">
        <v>137</v>
      </c>
      <c r="C20" s="45"/>
      <c r="D20" s="45" t="s">
        <v>139</v>
      </c>
      <c r="E20" s="45"/>
      <c r="F20" s="45" t="s">
        <v>141</v>
      </c>
      <c r="G20" s="45"/>
      <c r="H20" s="45"/>
      <c r="I20" s="45"/>
      <c r="J20" s="45"/>
      <c r="K20" s="45"/>
      <c r="L20" s="48" t="s">
        <v>130</v>
      </c>
      <c r="M20" s="33" t="str">
        <f t="array" ref="M20">IFERROR(INDEX($B$1:$K$1,INT((SMALL(IF($B$2:$K$31&lt;&gt;"",(COLUMN($B$2:$K$31)-COLUMN($B$2))*ROWS($A$2:$A$31)+ROW($B$2:$K$31)-ROW($B$2)+1),ROWS($M$1:M20))-1)/ROWS($A$2:$A$31))+1),"")</f>
        <v>정창화</v>
      </c>
      <c r="N20" s="33" t="str">
        <f t="array" ref="N20">IFERROR(INDEX($A$2:$A$31,MOD(SMALL(IF($B$2:$K$31&lt;&gt;"",(COLUMN($B$2:$K$31)-COLUMN($B$2))*ROWS($A$2:$A$31)+ROW($B$2:$K$31)-ROW($B$2)+1),ROWS($M$1:M20))-1,ROWS($A$2:$A$31))+1),"")</f>
        <v>휴-1A</v>
      </c>
      <c r="P20" s="45" t="s">
        <v>84</v>
      </c>
      <c r="Q20" s="45"/>
      <c r="R20" s="45"/>
      <c r="S20" s="45" t="s">
        <v>139</v>
      </c>
      <c r="T20" s="45"/>
      <c r="U20" s="45" t="s">
        <v>141</v>
      </c>
      <c r="V20" s="45" t="s">
        <v>142</v>
      </c>
      <c r="W20" s="45"/>
      <c r="X20" s="45"/>
      <c r="Y20" s="45"/>
      <c r="Z20" s="45"/>
    </row>
    <row r="21" spans="1:26">
      <c r="A21" s="46" t="s">
        <v>100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8" t="s">
        <v>131</v>
      </c>
      <c r="M21" s="33" t="str">
        <f t="array" ref="M21">IFERROR(INDEX($B$1:$K$1,INT((SMALL(IF($B$2:$K$31&lt;&gt;"",(COLUMN($B$2:$K$31)-COLUMN($B$2))*ROWS($A$2:$A$31)+ROW($B$2:$K$31)-ROW($B$2)+1),ROWS($M$1:M21))-1)/ROWS($A$2:$A$31))+1),"")</f>
        <v>정창화</v>
      </c>
      <c r="N21" s="33" t="str">
        <f t="array" ref="N21">IFERROR(INDEX($A$2:$A$31,MOD(SMALL(IF($B$2:$K$31&lt;&gt;"",(COLUMN($B$2:$K$31)-COLUMN($B$2))*ROWS($A$2:$A$31)+ROW($B$2:$K$31)-ROW($B$2)+1),ROWS($M$1:M21))-1,ROWS($A$2:$A$31))+1),"")</f>
        <v>휴-2A</v>
      </c>
      <c r="P21" s="45" t="s">
        <v>99</v>
      </c>
      <c r="Q21" s="45"/>
      <c r="R21" s="45" t="s">
        <v>138</v>
      </c>
      <c r="S21" s="45" t="s">
        <v>139</v>
      </c>
      <c r="T21" s="45"/>
      <c r="U21" s="45" t="s">
        <v>141</v>
      </c>
      <c r="V21" s="45" t="s">
        <v>142</v>
      </c>
      <c r="W21" s="45"/>
      <c r="X21" s="45"/>
      <c r="Y21" s="45"/>
      <c r="Z21" s="45"/>
    </row>
    <row r="22" spans="1:26">
      <c r="A22" s="46" t="s">
        <v>77</v>
      </c>
      <c r="B22" s="45"/>
      <c r="C22" s="45"/>
      <c r="D22" s="45"/>
      <c r="E22" s="45"/>
      <c r="F22" s="45"/>
      <c r="G22" s="45"/>
      <c r="H22" s="45" t="s">
        <v>143</v>
      </c>
      <c r="I22" s="45"/>
      <c r="J22" s="45"/>
      <c r="K22" s="45"/>
      <c r="L22" s="31" t="s">
        <v>132</v>
      </c>
      <c r="M22" s="33" t="str">
        <f t="array" ref="M22">IFERROR(INDEX($B$1:$K$1,INT((SMALL(IF($B$2:$K$31&lt;&gt;"",(COLUMN($B$2:$K$31)-COLUMN($B$2))*ROWS($A$2:$A$31)+ROW($B$2:$K$31)-ROW($B$2)+1),ROWS($M$1:M22))-1)/ROWS($A$2:$A$31))+1),"")</f>
        <v>정창화</v>
      </c>
      <c r="N22" s="33" t="str">
        <f t="array" ref="N22">IFERROR(INDEX($A$2:$A$31,MOD(SMALL(IF($B$2:$K$31&lt;&gt;"",(COLUMN($B$2:$K$31)-COLUMN($B$2))*ROWS($A$2:$A$31)+ROW($B$2:$K$31)-ROW($B$2)+1),ROWS($M$1:M22))-1,ROWS($A$2:$A$31))+1),"")</f>
        <v>점-1</v>
      </c>
      <c r="P22" s="45" t="s">
        <v>77</v>
      </c>
      <c r="Q22" s="45"/>
      <c r="R22" s="45"/>
      <c r="S22" s="45" t="s">
        <v>139</v>
      </c>
      <c r="T22" s="45" t="s">
        <v>140</v>
      </c>
      <c r="U22" s="45"/>
      <c r="V22" s="45"/>
      <c r="W22" s="45" t="s">
        <v>143</v>
      </c>
      <c r="X22" s="45"/>
      <c r="Y22" s="45"/>
      <c r="Z22" s="45"/>
    </row>
    <row r="23" spans="1:26">
      <c r="A23" s="46" t="s">
        <v>70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31" t="s">
        <v>134</v>
      </c>
      <c r="M23" s="33" t="str">
        <f t="array" ref="M23">IFERROR(INDEX($B$1:$K$1,INT((SMALL(IF($B$2:$K$31&lt;&gt;"",(COLUMN($B$2:$K$31)-COLUMN($B$2))*ROWS($A$2:$A$31)+ROW($B$2:$K$31)-ROW($B$2)+1),ROWS($M$1:M23))-1)/ROWS($A$2:$A$31))+1),"")</f>
        <v>정창화</v>
      </c>
      <c r="N23" s="33" t="str">
        <f t="array" ref="N23">IFERROR(INDEX($A$2:$A$31,MOD(SMALL(IF($B$2:$K$31&lt;&gt;"",(COLUMN($B$2:$K$31)-COLUMN($B$2))*ROWS($A$2:$A$31)+ROW($B$2:$K$31)-ROW($B$2)+1),ROWS($M$1:M23))-1,ROWS($A$2:$A$31))+1),"")</f>
        <v>휴-3A</v>
      </c>
      <c r="P23" s="45" t="s">
        <v>70</v>
      </c>
      <c r="Q23" s="45" t="s">
        <v>137</v>
      </c>
      <c r="R23" s="45"/>
      <c r="S23" s="45"/>
      <c r="T23" s="45" t="s">
        <v>140</v>
      </c>
      <c r="U23" s="45"/>
      <c r="V23" s="45" t="s">
        <v>142</v>
      </c>
      <c r="W23" s="45"/>
      <c r="X23" s="45"/>
      <c r="Y23" s="45"/>
      <c r="Z23" s="45"/>
    </row>
    <row r="24" spans="1:26">
      <c r="A24" s="46" t="s">
        <v>90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31" t="s">
        <v>133</v>
      </c>
      <c r="M24" s="33" t="str">
        <f t="array" ref="M24">IFERROR(INDEX($B$1:$K$1,INT((SMALL(IF($B$2:$K$31&lt;&gt;"",(COLUMN($B$2:$K$31)-COLUMN($B$2))*ROWS($A$2:$A$31)+ROW($B$2:$K$31)-ROW($B$2)+1),ROWS($M$1:M24))-1)/ROWS($A$2:$A$31))+1),"")</f>
        <v>정창화</v>
      </c>
      <c r="N24" s="33" t="str">
        <f t="array" ref="N24">IFERROR(INDEX($A$2:$A$31,MOD(SMALL(IF($B$2:$K$31&lt;&gt;"",(COLUMN($B$2:$K$31)-COLUMN($B$2))*ROWS($A$2:$A$31)+ROW($B$2:$K$31)-ROW($B$2)+1),ROWS($M$1:M24))-1,ROWS($A$2:$A$31))+1),"")</f>
        <v>소-1</v>
      </c>
      <c r="P24" s="45" t="s">
        <v>90</v>
      </c>
      <c r="Q24" s="45"/>
      <c r="R24" s="45" t="s">
        <v>138</v>
      </c>
      <c r="S24" s="45"/>
      <c r="T24" s="45"/>
      <c r="U24" s="45" t="s">
        <v>141</v>
      </c>
      <c r="V24" s="45"/>
      <c r="W24" s="45" t="s">
        <v>143</v>
      </c>
      <c r="X24" s="45"/>
      <c r="Y24" s="45"/>
      <c r="Z24" s="45"/>
    </row>
    <row r="25" spans="1:26">
      <c r="A25" s="46" t="s">
        <v>151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M25" s="33" t="str">
        <f t="array" ref="M25">IFERROR(INDEX($B$1:$K$1,INT((SMALL(IF($B$2:$K$31&lt;&gt;"",(COLUMN($B$2:$K$31)-COLUMN($B$2))*ROWS($A$2:$A$31)+ROW($B$2:$K$31)-ROW($B$2)+1),ROWS($M$1:M25))-1)/ROWS($A$2:$A$31))+1),"")</f>
        <v>신운기</v>
      </c>
      <c r="N25" s="33" t="str">
        <f t="array" ref="N25">IFERROR(INDEX($A$2:$A$31,MOD(SMALL(IF($B$2:$K$31&lt;&gt;"",(COLUMN($B$2:$K$31)-COLUMN($B$2))*ROWS($A$2:$A$31)+ROW($B$2:$K$31)-ROW($B$2)+1),ROWS($M$1:M25))-1,ROWS($A$2:$A$31))+1),"")</f>
        <v>휴-1B</v>
      </c>
      <c r="P25" s="46" t="s">
        <v>151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>
      <c r="A26" s="46" t="s">
        <v>150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M26" s="33" t="str">
        <f t="array" ref="M26">IFERROR(INDEX($B$1:$K$1,INT((SMALL(IF($B$2:$K$31&lt;&gt;"",(COLUMN($B$2:$K$31)-COLUMN($B$2))*ROWS($A$2:$A$31)+ROW($B$2:$K$31)-ROW($B$2)+1),ROWS($M$1:M26))-1)/ROWS($A$2:$A$31))+1),"")</f>
        <v>신운기</v>
      </c>
      <c r="N26" s="33" t="str">
        <f t="array" ref="N26">IFERROR(INDEX($A$2:$A$31,MOD(SMALL(IF($B$2:$K$31&lt;&gt;"",(COLUMN($B$2:$K$31)-COLUMN($B$2))*ROWS($A$2:$A$31)+ROW($B$2:$K$31)-ROW($B$2)+1),ROWS($M$1:M26))-1,ROWS($A$2:$A$31))+1),"")</f>
        <v>휴-2B</v>
      </c>
      <c r="P26" s="46" t="s">
        <v>150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>
      <c r="A27" s="45" t="s">
        <v>114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M27" s="33" t="str">
        <f t="array" ref="M27">IFERROR(INDEX($B$1:$K$1,INT((SMALL(IF($B$2:$K$31&lt;&gt;"",(COLUMN($B$2:$K$31)-COLUMN($B$2))*ROWS($A$2:$A$31)+ROW($B$2:$K$31)-ROW($B$2)+1),ROWS($M$1:M27))-1)/ROWS($A$2:$A$31))+1),"")</f>
        <v>신운기</v>
      </c>
      <c r="N27" s="33" t="str">
        <f t="array" ref="N27">IFERROR(INDEX($A$2:$A$31,MOD(SMALL(IF($B$2:$K$31&lt;&gt;"",(COLUMN($B$2:$K$31)-COLUMN($B$2))*ROWS($A$2:$A$31)+ROW($B$2:$K$31)-ROW($B$2)+1),ROWS($M$1:M27))-1,ROWS($A$2:$A$31))+1),"")</f>
        <v>게-1</v>
      </c>
      <c r="P27" s="45" t="s">
        <v>114</v>
      </c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>
      <c r="A28" s="45" t="s">
        <v>112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M28" s="33" t="str">
        <f t="array" ref="M28">IFERROR(INDEX($B$1:$K$1,INT((SMALL(IF($B$2:$K$31&lt;&gt;"",(COLUMN($B$2:$K$31)-COLUMN($B$2))*ROWS($A$2:$A$31)+ROW($B$2:$K$31)-ROW($B$2)+1),ROWS($M$1:M28))-1)/ROWS($A$2:$A$31))+1),"")</f>
        <v>신운기</v>
      </c>
      <c r="N28" s="33" t="str">
        <f t="array" ref="N28">IFERROR(INDEX($A$2:$A$31,MOD(SMALL(IF($B$2:$K$31&lt;&gt;"",(COLUMN($B$2:$K$31)-COLUMN($B$2))*ROWS($A$2:$A$31)+ROW($B$2:$K$31)-ROW($B$2)+1),ROWS($M$1:M28))-1,ROWS($A$2:$A$31))+1),"")</f>
        <v>주-4</v>
      </c>
      <c r="P28" s="45" t="s">
        <v>112</v>
      </c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>
      <c r="A29" s="40" t="s">
        <v>59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M29" s="33" t="str">
        <f t="array" ref="M29">IFERROR(INDEX($B$1:$K$1,INT((SMALL(IF($B$2:$K$31&lt;&gt;"",(COLUMN($B$2:$K$31)-COLUMN($B$2))*ROWS($A$2:$A$31)+ROW($B$2:$K$31)-ROW($B$2)+1),ROWS($M$1:M29))-1)/ROWS($A$2:$A$31))+1),"")</f>
        <v>신운기</v>
      </c>
      <c r="N29" s="33" t="str">
        <f t="array" ref="N29">IFERROR(INDEX($A$2:$A$31,MOD(SMALL(IF($B$2:$K$31&lt;&gt;"",(COLUMN($B$2:$K$31)-COLUMN($B$2))*ROWS($A$2:$A$31)+ROW($B$2:$K$31)-ROW($B$2)+1),ROWS($M$1:M29))-1,ROWS($A$2:$A$31))+1),"")</f>
        <v>휴-3B</v>
      </c>
      <c r="P29" s="40" t="s">
        <v>59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>
      <c r="A30" s="40" t="s">
        <v>43</v>
      </c>
      <c r="B30" s="42"/>
      <c r="C30" s="42"/>
      <c r="D30" s="42"/>
      <c r="E30" s="42"/>
      <c r="F30" s="42"/>
      <c r="G30" s="42" t="s">
        <v>142</v>
      </c>
      <c r="H30" s="42"/>
      <c r="I30" s="42"/>
      <c r="J30" s="42"/>
      <c r="K30" s="42"/>
      <c r="M30" s="33" t="str">
        <f t="array" ref="M30">IFERROR(INDEX($B$1:$K$1,INT((SMALL(IF($B$2:$K$31&lt;&gt;"",(COLUMN($B$2:$K$31)-COLUMN($B$2))*ROWS($A$2:$A$31)+ROW($B$2:$K$31)-ROW($B$2)+1),ROWS($M$1:M30))-1)/ROWS($A$2:$A$31))+1),"")</f>
        <v>신운기</v>
      </c>
      <c r="N30" s="33" t="str">
        <f t="array" ref="N30">IFERROR(INDEX($A$2:$A$31,MOD(SMALL(IF($B$2:$K$31&lt;&gt;"",(COLUMN($B$2:$K$31)-COLUMN($B$2))*ROWS($A$2:$A$31)+ROW($B$2:$K$31)-ROW($B$2)+1),ROWS($M$1:M30))-1,ROWS($A$2:$A$31))+1),"")</f>
        <v>주-3</v>
      </c>
      <c r="P30" s="40" t="s">
        <v>43</v>
      </c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>
      <c r="A31" s="40" t="s">
        <v>62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M31" s="33" t="str">
        <f t="array" ref="M31">IFERROR(INDEX($B$1:$K$1,INT((SMALL(IF($B$2:$K$31&lt;&gt;"",(COLUMN($B$2:$K$31)-COLUMN($B$2))*ROWS($A$2:$A$31)+ROW($B$2:$K$31)-ROW($B$2)+1),ROWS($M$1:M31))-1)/ROWS($A$2:$A$31))+1),"")</f>
        <v>유복현</v>
      </c>
      <c r="N31" s="33" t="str">
        <f t="array" ref="N31">IFERROR(INDEX($A$2:$A$31,MOD(SMALL(IF($B$2:$K$31&lt;&gt;"",(COLUMN($B$2:$K$31)-COLUMN($B$2))*ROWS($A$2:$A$31)+ROW($B$2:$K$31)-ROW($B$2)+1),ROWS($M$1:M31))-1,ROWS($A$2:$A$31))+1),"")</f>
        <v>주-4</v>
      </c>
      <c r="P31" s="40" t="s">
        <v>62</v>
      </c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>
      <c r="B32" s="31">
        <f t="shared" ref="B32:K32" si="0">COUNTA(B2:B31)</f>
        <v>5</v>
      </c>
      <c r="C32" s="31">
        <f t="shared" si="0"/>
        <v>6</v>
      </c>
      <c r="D32" s="31">
        <f t="shared" si="0"/>
        <v>7</v>
      </c>
      <c r="E32" s="31">
        <f t="shared" si="0"/>
        <v>6</v>
      </c>
      <c r="F32" s="31">
        <f t="shared" si="0"/>
        <v>6</v>
      </c>
      <c r="G32" s="31">
        <f t="shared" si="0"/>
        <v>7</v>
      </c>
      <c r="H32" s="31">
        <f t="shared" si="0"/>
        <v>8</v>
      </c>
      <c r="I32" s="31">
        <f t="shared" si="0"/>
        <v>3</v>
      </c>
      <c r="J32" s="31">
        <f t="shared" si="0"/>
        <v>3</v>
      </c>
      <c r="K32" s="31">
        <f t="shared" si="0"/>
        <v>1</v>
      </c>
      <c r="M32" s="33" t="str">
        <f t="array" ref="M32">IFERROR(INDEX($B$1:$K$1,INT((SMALL(IF($B$2:$K$31&lt;&gt;"",(COLUMN($B$2:$K$31)-COLUMN($B$2))*ROWS($A$2:$A$31)+ROW($B$2:$K$31)-ROW($B$2)+1),ROWS($M$1:M32))-1)/ROWS($A$2:$A$31))+1),"")</f>
        <v>유복현</v>
      </c>
      <c r="N32" s="33" t="str">
        <f t="array" ref="N32">IFERROR(INDEX($A$2:$A$31,MOD(SMALL(IF($B$2:$K$31&lt;&gt;"",(COLUMN($B$2:$K$31)-COLUMN($B$2))*ROWS($A$2:$A$31)+ROW($B$2:$K$31)-ROW($B$2)+1),ROWS($M$1:M32))-1,ROWS($A$2:$A$31))+1),"")</f>
        <v>휴-3A</v>
      </c>
      <c r="Q32" s="31">
        <f t="shared" ref="Q32:Z32" si="1">COUNTA(Q2:Q31)</f>
        <v>5</v>
      </c>
      <c r="R32" s="31">
        <f t="shared" si="1"/>
        <v>8</v>
      </c>
      <c r="S32" s="31">
        <f t="shared" si="1"/>
        <v>11</v>
      </c>
      <c r="T32" s="31">
        <f t="shared" si="1"/>
        <v>8</v>
      </c>
      <c r="U32" s="31">
        <f t="shared" si="1"/>
        <v>9</v>
      </c>
      <c r="V32" s="31">
        <f t="shared" si="1"/>
        <v>14</v>
      </c>
      <c r="W32" s="31">
        <f t="shared" si="1"/>
        <v>8</v>
      </c>
      <c r="X32" s="31">
        <f t="shared" si="1"/>
        <v>3</v>
      </c>
      <c r="Y32" s="31">
        <f t="shared" si="1"/>
        <v>3</v>
      </c>
      <c r="Z32" s="31">
        <f t="shared" si="1"/>
        <v>3</v>
      </c>
    </row>
    <row r="33" spans="5:14">
      <c r="E33" s="43"/>
      <c r="M33" s="33" t="str">
        <f t="array" ref="M33">IFERROR(INDEX($B$1:$K$1,INT((SMALL(IF($B$2:$K$31&lt;&gt;"",(COLUMN($B$2:$K$31)-COLUMN($B$2))*ROWS($A$2:$A$31)+ROW($B$2:$K$31)-ROW($B$2)+1),ROWS($M$1:M33))-1)/ROWS($A$2:$A$31))+1),"")</f>
        <v>유복현</v>
      </c>
      <c r="N33" s="33" t="str">
        <f t="array" ref="N33">IFERROR(INDEX($A$2:$A$31,MOD(SMALL(IF($B$2:$K$31&lt;&gt;"",(COLUMN($B$2:$K$31)-COLUMN($B$2))*ROWS($A$2:$A$31)+ROW($B$2:$K$31)-ROW($B$2)+1),ROWS($M$1:M33))-1,ROWS($A$2:$A$31))+1),"")</f>
        <v>소-1</v>
      </c>
    </row>
    <row r="34" spans="5:14">
      <c r="M34" s="33" t="str">
        <f t="array" ref="M34">IFERROR(INDEX($B$1:$K$1,INT((SMALL(IF($B$2:$K$31&lt;&gt;"",(COLUMN($B$2:$K$31)-COLUMN($B$2))*ROWS($A$2:$A$31)+ROW($B$2:$K$31)-ROW($B$2)+1),ROWS($M$1:M34))-1)/ROWS($A$2:$A$31))+1),"")</f>
        <v>유복현</v>
      </c>
      <c r="N34" s="33" t="str">
        <f t="array" ref="N34">IFERROR(INDEX($A$2:$A$31,MOD(SMALL(IF($B$2:$K$31&lt;&gt;"",(COLUMN($B$2:$K$31)-COLUMN($B$2))*ROWS($A$2:$A$31)+ROW($B$2:$K$31)-ROW($B$2)+1),ROWS($M$1:M34))-1,ROWS($A$2:$A$31))+1),"")</f>
        <v>맘-1</v>
      </c>
    </row>
    <row r="35" spans="5:14">
      <c r="M35" s="33" t="str">
        <f t="array" ref="M35">IFERROR(INDEX($B$1:$K$1,INT((SMALL(IF($B$2:$K$31&lt;&gt;"",(COLUMN($B$2:$K$31)-COLUMN($B$2))*ROWS($A$2:$A$31)+ROW($B$2:$K$31)-ROW($B$2)+1),ROWS($M$1:M35))-1)/ROWS($A$2:$A$31))+1),"")</f>
        <v>유복현</v>
      </c>
      <c r="N35" s="33" t="str">
        <f t="array" ref="N35">IFERROR(INDEX($A$2:$A$31,MOD(SMALL(IF($B$2:$K$31&lt;&gt;"",(COLUMN($B$2:$K$31)-COLUMN($B$2))*ROWS($A$2:$A$31)+ROW($B$2:$K$31)-ROW($B$2)+1),ROWS($M$1:M35))-1,ROWS($A$2:$A$31))+1),"")</f>
        <v>G-3</v>
      </c>
    </row>
    <row r="36" spans="5:14">
      <c r="M36" s="33" t="str">
        <f t="array" ref="M36">IFERROR(INDEX($B$1:$K$1,INT((SMALL(IF($B$2:$K$31&lt;&gt;"",(COLUMN($B$2:$K$31)-COLUMN($B$2))*ROWS($A$2:$A$31)+ROW($B$2:$K$31)-ROW($B$2)+1),ROWS($M$1:M36))-1)/ROWS($A$2:$A$31))+1),"")</f>
        <v>유복현</v>
      </c>
      <c r="N36" s="33" t="str">
        <f t="array" ref="N36">IFERROR(INDEX($A$2:$A$31,MOD(SMALL(IF($B$2:$K$31&lt;&gt;"",(COLUMN($B$2:$K$31)-COLUMN($B$2))*ROWS($A$2:$A$31)+ROW($B$2:$K$31)-ROW($B$2)+1),ROWS($M$1:M36))-1,ROWS($A$2:$A$31))+1),"")</f>
        <v>푸-1</v>
      </c>
    </row>
    <row r="37" spans="5:14">
      <c r="M37" s="33" t="str">
        <f t="array" ref="M37">IFERROR(INDEX($B$1:$K$1,INT((SMALL(IF($B$2:$K$31&lt;&gt;"",(COLUMN($B$2:$K$31)-COLUMN($B$2))*ROWS($A$2:$A$31)+ROW($B$2:$K$31)-ROW($B$2)+1),ROWS($M$1:M37))-1)/ROWS($A$2:$A$31))+1),"")</f>
        <v>유복현</v>
      </c>
      <c r="N37" s="33" t="str">
        <f t="array" ref="N37">IFERROR(INDEX($A$2:$A$31,MOD(SMALL(IF($B$2:$K$31&lt;&gt;"",(COLUMN($B$2:$K$31)-COLUMN($B$2))*ROWS($A$2:$A$31)+ROW($B$2:$K$31)-ROW($B$2)+1),ROWS($M$1:M37))-1,ROWS($A$2:$A$31))+1),"")</f>
        <v>연-2</v>
      </c>
    </row>
    <row r="38" spans="5:14">
      <c r="M38" s="33" t="str">
        <f t="array" ref="M38">IFERROR(INDEX($B$1:$K$1,INT((SMALL(IF($B$2:$K$31&lt;&gt;"",(COLUMN($B$2:$K$31)-COLUMN($B$2))*ROWS($A$2:$A$31)+ROW($B$2:$K$31)-ROW($B$2)+1),ROWS($M$1:M38))-1)/ROWS($A$2:$A$31))+1),"")</f>
        <v>김민겸</v>
      </c>
      <c r="N38" s="33" t="str">
        <f t="array" ref="N38">IFERROR(INDEX($A$2:$A$31,MOD(SMALL(IF($B$2:$K$31&lt;&gt;"",(COLUMN($B$2:$K$31)-COLUMN($B$2))*ROWS($A$2:$A$31)+ROW($B$2:$K$31)-ROW($B$2)+1),ROWS($M$1:M38))-1,ROWS($A$2:$A$31))+1),"")</f>
        <v>휴-1B</v>
      </c>
    </row>
    <row r="39" spans="5:14">
      <c r="M39" s="33" t="str">
        <f t="array" ref="M39">IFERROR(INDEX($B$1:$K$1,INT((SMALL(IF($B$2:$K$31&lt;&gt;"",(COLUMN($B$2:$K$31)-COLUMN($B$2))*ROWS($A$2:$A$31)+ROW($B$2:$K$31)-ROW($B$2)+1),ROWS($M$1:M39))-1)/ROWS($A$2:$A$31))+1),"")</f>
        <v>김민겸</v>
      </c>
      <c r="N39" s="33" t="str">
        <f t="array" ref="N39">IFERROR(INDEX($A$2:$A$31,MOD(SMALL(IF($B$2:$K$31&lt;&gt;"",(COLUMN($B$2:$K$31)-COLUMN($B$2))*ROWS($A$2:$A$31)+ROW($B$2:$K$31)-ROW($B$2)+1),ROWS($M$1:M39))-1,ROWS($A$2:$A$31))+1),"")</f>
        <v>휴-2B</v>
      </c>
    </row>
    <row r="40" spans="5:14">
      <c r="M40" s="33" t="str">
        <f t="array" ref="M40">IFERROR(INDEX($B$1:$K$1,INT((SMALL(IF($B$2:$K$31&lt;&gt;"",(COLUMN($B$2:$K$31)-COLUMN($B$2))*ROWS($A$2:$A$31)+ROW($B$2:$K$31)-ROW($B$2)+1),ROWS($M$1:M40))-1)/ROWS($A$2:$A$31))+1),"")</f>
        <v>김민겸</v>
      </c>
      <c r="N40" s="33" t="str">
        <f t="array" ref="N40">IFERROR(INDEX($A$2:$A$31,MOD(SMALL(IF($B$2:$K$31&lt;&gt;"",(COLUMN($B$2:$K$31)-COLUMN($B$2))*ROWS($A$2:$A$31)+ROW($B$2:$K$31)-ROW($B$2)+1),ROWS($M$1:M40))-1,ROWS($A$2:$A$31))+1),"")</f>
        <v>점-1</v>
      </c>
    </row>
    <row r="41" spans="5:14">
      <c r="M41" s="33" t="str">
        <f t="array" ref="M41">IFERROR(INDEX($B$1:$K$1,INT((SMALL(IF($B$2:$K$31&lt;&gt;"",(COLUMN($B$2:$K$31)-COLUMN($B$2))*ROWS($A$2:$A$31)+ROW($B$2:$K$31)-ROW($B$2)+1),ROWS($M$1:M41))-1)/ROWS($A$2:$A$31))+1),"")</f>
        <v>김민겸</v>
      </c>
      <c r="N41" s="33" t="str">
        <f t="array" ref="N41">IFERROR(INDEX($A$2:$A$31,MOD(SMALL(IF($B$2:$K$31&lt;&gt;"",(COLUMN($B$2:$K$31)-COLUMN($B$2))*ROWS($A$2:$A$31)+ROW($B$2:$K$31)-ROW($B$2)+1),ROWS($M$1:M41))-1,ROWS($A$2:$A$31))+1),"")</f>
        <v>게-1</v>
      </c>
    </row>
    <row r="42" spans="5:14">
      <c r="M42" s="33" t="str">
        <f t="array" ref="M42">IFERROR(INDEX($B$1:$K$1,INT((SMALL(IF($B$2:$K$31&lt;&gt;"",(COLUMN($B$2:$K$31)-COLUMN($B$2))*ROWS($A$2:$A$31)+ROW($B$2:$K$31)-ROW($B$2)+1),ROWS($M$1:M42))-1)/ROWS($A$2:$A$31))+1),"")</f>
        <v>김민겸</v>
      </c>
      <c r="N42" s="33" t="str">
        <f t="array" ref="N42">IFERROR(INDEX($A$2:$A$31,MOD(SMALL(IF($B$2:$K$31&lt;&gt;"",(COLUMN($B$2:$K$31)-COLUMN($B$2))*ROWS($A$2:$A$31)+ROW($B$2:$K$31)-ROW($B$2)+1),ROWS($M$1:M42))-1,ROWS($A$2:$A$31))+1),"")</f>
        <v>휴-3B</v>
      </c>
    </row>
    <row r="43" spans="5:14">
      <c r="M43" s="33" t="str">
        <f t="array" ref="M43">IFERROR(INDEX($B$1:$K$1,INT((SMALL(IF($B$2:$K$31&lt;&gt;"",(COLUMN($B$2:$K$31)-COLUMN($B$2))*ROWS($A$2:$A$31)+ROW($B$2:$K$31)-ROW($B$2)+1),ROWS($M$1:M43))-1)/ROWS($A$2:$A$31))+1),"")</f>
        <v>김민겸</v>
      </c>
      <c r="N43" s="33" t="str">
        <f t="array" ref="N43">IFERROR(INDEX($A$2:$A$31,MOD(SMALL(IF($B$2:$K$31&lt;&gt;"",(COLUMN($B$2:$K$31)-COLUMN($B$2))*ROWS($A$2:$A$31)+ROW($B$2:$K$31)-ROW($B$2)+1),ROWS($M$1:M43))-1,ROWS($A$2:$A$31))+1),"")</f>
        <v>G-1</v>
      </c>
    </row>
    <row r="44" spans="5:14">
      <c r="M44" s="33" t="str">
        <f t="array" ref="M44">IFERROR(INDEX($B$1:$K$1,INT((SMALL(IF($B$2:$K$31&lt;&gt;"",(COLUMN($B$2:$K$31)-COLUMN($B$2))*ROWS($A$2:$A$31)+ROW($B$2:$K$31)-ROW($B$2)+1),ROWS($M$1:M44))-1)/ROWS($A$2:$A$31))+1),"")</f>
        <v>김민겸</v>
      </c>
      <c r="N44" s="33" t="str">
        <f t="array" ref="N44">IFERROR(INDEX($A$2:$A$31,MOD(SMALL(IF($B$2:$K$31&lt;&gt;"",(COLUMN($B$2:$K$31)-COLUMN($B$2))*ROWS($A$2:$A$31)+ROW($B$2:$K$31)-ROW($B$2)+1),ROWS($M$1:M44))-1,ROWS($A$2:$A$31))+1),"")</f>
        <v>G-2</v>
      </c>
    </row>
    <row r="45" spans="5:14">
      <c r="M45" s="33" t="str">
        <f t="array" ref="M45">IFERROR(INDEX($B$1:$K$1,INT((SMALL(IF($B$2:$K$31&lt;&gt;"",(COLUMN($B$2:$K$31)-COLUMN($B$2))*ROWS($A$2:$A$31)+ROW($B$2:$K$31)-ROW($B$2)+1),ROWS($M$1:M45))-1)/ROWS($A$2:$A$31))+1),"")</f>
        <v>김민겸</v>
      </c>
      <c r="N45" s="33" t="str">
        <f t="array" ref="N45">IFERROR(INDEX($A$2:$A$31,MOD(SMALL(IF($B$2:$K$31&lt;&gt;"",(COLUMN($B$2:$K$31)-COLUMN($B$2))*ROWS($A$2:$A$31)+ROW($B$2:$K$31)-ROW($B$2)+1),ROWS($M$1:M45))-1,ROWS($A$2:$A$31))+1),"")</f>
        <v>자-1</v>
      </c>
    </row>
    <row r="46" spans="5:14">
      <c r="M46" s="33" t="str">
        <f t="array" ref="M46">IFERROR(INDEX($B$1:$K$1,INT((SMALL(IF($B$2:$K$31&lt;&gt;"",(COLUMN($B$2:$K$31)-COLUMN($B$2))*ROWS($A$2:$A$31)+ROW($B$2:$K$31)-ROW($B$2)+1),ROWS($M$1:M46))-1)/ROWS($A$2:$A$31))+1),"")</f>
        <v>이동철</v>
      </c>
      <c r="N46" s="33" t="str">
        <f t="array" ref="N46">IFERROR(INDEX($A$2:$A$31,MOD(SMALL(IF($B$2:$K$31&lt;&gt;"",(COLUMN($B$2:$K$31)-COLUMN($B$2))*ROWS($A$2:$A$31)+ROW($B$2:$K$31)-ROW($B$2)+1),ROWS($M$1:M46))-1,ROWS($A$2:$A$31))+1),"")</f>
        <v>휴-1A</v>
      </c>
    </row>
    <row r="47" spans="5:14">
      <c r="M47" s="33" t="str">
        <f t="array" ref="M47">IFERROR(INDEX($B$1:$K$1,INT((SMALL(IF($B$2:$K$31&lt;&gt;"",(COLUMN($B$2:$K$31)-COLUMN($B$2))*ROWS($A$2:$A$31)+ROW($B$2:$K$31)-ROW($B$2)+1),ROWS($M$1:M47))-1)/ROWS($A$2:$A$31))+1),"")</f>
        <v>이동철</v>
      </c>
      <c r="N47" s="33" t="str">
        <f t="array" ref="N47">IFERROR(INDEX($A$2:$A$31,MOD(SMALL(IF($B$2:$K$31&lt;&gt;"",(COLUMN($B$2:$K$31)-COLUMN($B$2))*ROWS($A$2:$A$31)+ROW($B$2:$K$31)-ROW($B$2)+1),ROWS($M$1:M47))-1,ROWS($A$2:$A$31))+1),"")</f>
        <v>휴-2A</v>
      </c>
    </row>
    <row r="48" spans="5:14">
      <c r="M48" s="33" t="str">
        <f t="array" ref="M48">IFERROR(INDEX($B$1:$K$1,INT((SMALL(IF($B$2:$K$31&lt;&gt;"",(COLUMN($B$2:$K$31)-COLUMN($B$2))*ROWS($A$2:$A$31)+ROW($B$2:$K$31)-ROW($B$2)+1),ROWS($M$1:M48))-1)/ROWS($A$2:$A$31))+1),"")</f>
        <v>이동철</v>
      </c>
      <c r="N48" s="33" t="str">
        <f t="array" ref="N48">IFERROR(INDEX($A$2:$A$31,MOD(SMALL(IF($B$2:$K$31&lt;&gt;"",(COLUMN($B$2:$K$31)-COLUMN($B$2))*ROWS($A$2:$A$31)+ROW($B$2:$K$31)-ROW($B$2)+1),ROWS($M$1:M48))-1,ROWS($A$2:$A$31))+1),"")</f>
        <v>휴-3A</v>
      </c>
    </row>
    <row r="49" spans="13:14">
      <c r="M49" s="33" t="str">
        <f t="array" ref="M49">IFERROR(INDEX($B$1:$K$1,INT((SMALL(IF($B$2:$K$31&lt;&gt;"",(COLUMN($B$2:$K$31)-COLUMN($B$2))*ROWS($A$2:$A$31)+ROW($B$2:$K$31)-ROW($B$2)+1),ROWS($M$1:M49))-1)/ROWS($A$2:$A$31))+1),"")</f>
        <v>여연동</v>
      </c>
      <c r="N49" s="33" t="str">
        <f t="array" ref="N49">IFERROR(INDEX($A$2:$A$31,MOD(SMALL(IF($B$2:$K$31&lt;&gt;"",(COLUMN($B$2:$K$31)-COLUMN($B$2))*ROWS($A$2:$A$31)+ROW($B$2:$K$31)-ROW($B$2)+1),ROWS($M$1:M49))-1,ROWS($A$2:$A$31))+1),"")</f>
        <v>휴-1B</v>
      </c>
    </row>
    <row r="50" spans="13:14">
      <c r="M50" s="33" t="str">
        <f t="array" ref="M50">IFERROR(INDEX($B$1:$K$1,INT((SMALL(IF($B$2:$K$31&lt;&gt;"",(COLUMN($B$2:$K$31)-COLUMN($B$2))*ROWS($A$2:$A$31)+ROW($B$2:$K$31)-ROW($B$2)+1),ROWS($M$1:M50))-1)/ROWS($A$2:$A$31))+1),"")</f>
        <v>여연동</v>
      </c>
      <c r="N50" s="33" t="str">
        <f t="array" ref="N50">IFERROR(INDEX($A$2:$A$31,MOD(SMALL(IF($B$2:$K$31&lt;&gt;"",(COLUMN($B$2:$K$31)-COLUMN($B$2))*ROWS($A$2:$A$31)+ROW($B$2:$K$31)-ROW($B$2)+1),ROWS($M$1:M50))-1,ROWS($A$2:$A$31))+1),"")</f>
        <v>휴-2B</v>
      </c>
    </row>
    <row r="51" spans="13:14">
      <c r="M51" s="33" t="str">
        <f t="array" ref="M51">IFERROR(INDEX($B$1:$K$1,INT((SMALL(IF($B$2:$K$31&lt;&gt;"",(COLUMN($B$2:$K$31)-COLUMN($B$2))*ROWS($A$2:$A$31)+ROW($B$2:$K$31)-ROW($B$2)+1),ROWS($M$1:M51))-1)/ROWS($A$2:$A$31))+1),"")</f>
        <v>여연동</v>
      </c>
      <c r="N51" s="33" t="str">
        <f t="array" ref="N51">IFERROR(INDEX($A$2:$A$31,MOD(SMALL(IF($B$2:$K$31&lt;&gt;"",(COLUMN($B$2:$K$31)-COLUMN($B$2))*ROWS($A$2:$A$31)+ROW($B$2:$K$31)-ROW($B$2)+1),ROWS($M$1:M51))-1,ROWS($A$2:$A$31))+1),"")</f>
        <v>휴-3B</v>
      </c>
    </row>
    <row r="52" spans="13:14">
      <c r="M52" s="33" t="str">
        <f t="array" ref="M52">IFERROR(INDEX($B$1:$K$1,INT((SMALL(IF($B$2:$K$31&lt;&gt;"",(COLUMN($B$2:$K$31)-COLUMN($B$2))*ROWS($A$2:$A$31)+ROW($B$2:$K$31)-ROW($B$2)+1),ROWS($M$1:M52))-1)/ROWS($A$2:$A$31))+1),"")</f>
        <v>박동원</v>
      </c>
      <c r="N52" s="33" t="str">
        <f t="array" ref="N52">IFERROR(INDEX($A$2:$A$31,MOD(SMALL(IF($B$2:$K$31&lt;&gt;"",(COLUMN($B$2:$K$31)-COLUMN($B$2))*ROWS($A$2:$A$31)+ROW($B$2:$K$31)-ROW($B$2)+1),ROWS($M$1:M52))-1,ROWS($A$2:$A$31))+1),"")</f>
        <v>휴-3B</v>
      </c>
    </row>
    <row r="53" spans="13:14">
      <c r="M53" s="33" t="str">
        <f t="array" ref="M53">IFERROR(INDEX($B$1:$K$1,INT((SMALL(IF($B$2:$K$31&lt;&gt;"",(COLUMN($B$2:$K$31)-COLUMN($B$2))*ROWS($A$2:$A$31)+ROW($B$2:$K$31)-ROW($B$2)+1),ROWS($M$1:M53))-1)/ROWS($A$2:$A$31))+1),"")</f>
        <v/>
      </c>
      <c r="N53" s="33" t="str">
        <f t="array" ref="N53">IFERROR(INDEX($A$2:$A$31,MOD(SMALL(IF($B$2:$K$31&lt;&gt;"",(COLUMN($B$2:$K$31)-COLUMN($B$2))*ROWS($A$2:$A$31)+ROW($B$2:$K$31)-ROW($B$2)+1),ROWS($M$1:M53))-1,ROWS($A$2:$A$31))+1),"")</f>
        <v/>
      </c>
    </row>
    <row r="54" spans="13:14">
      <c r="M54" s="33" t="str">
        <f t="array" ref="M54">IFERROR(INDEX($B$1:$K$1,INT((SMALL(IF($B$2:$K$31&lt;&gt;"",(COLUMN($B$2:$K$31)-COLUMN($B$2))*ROWS($A$2:$A$31)+ROW($B$2:$K$31)-ROW($B$2)+1),ROWS($M$1:M54))-1)/ROWS($A$2:$A$31))+1),"")</f>
        <v/>
      </c>
      <c r="N54" s="33" t="str">
        <f t="array" ref="N54">IFERROR(INDEX($A$2:$A$31,MOD(SMALL(IF($B$2:$K$31&lt;&gt;"",(COLUMN($B$2:$K$31)-COLUMN($B$2))*ROWS($A$2:$A$31)+ROW($B$2:$K$31)-ROW($B$2)+1),ROWS($M$1:M54))-1,ROWS($A$2:$A$31))+1),"")</f>
        <v/>
      </c>
    </row>
    <row r="55" spans="13:14">
      <c r="M55" s="33" t="str">
        <f t="array" ref="M55">IFERROR(INDEX($B$1:$K$1,INT((SMALL(IF($B$2:$K$31&lt;&gt;"",(COLUMN($B$2:$K$31)-COLUMN($B$2))*ROWS($A$2:$A$31)+ROW($B$2:$K$31)-ROW($B$2)+1),ROWS($M$1:M55))-1)/ROWS($A$2:$A$31))+1),"")</f>
        <v/>
      </c>
      <c r="N55" s="33" t="str">
        <f t="array" ref="N55">IFERROR(INDEX($A$2:$A$31,MOD(SMALL(IF($B$2:$K$31&lt;&gt;"",(COLUMN($B$2:$K$31)-COLUMN($B$2))*ROWS($A$2:$A$31)+ROW($B$2:$K$31)-ROW($B$2)+1),ROWS($M$1:M55))-1,ROWS($A$2:$A$31))+1),"")</f>
        <v/>
      </c>
    </row>
    <row r="56" spans="13:14">
      <c r="M56" s="33" t="str">
        <f t="array" ref="M56">IFERROR(INDEX($B$1:$K$1,INT((SMALL(IF($B$2:$K$31&lt;&gt;"",(COLUMN($B$2:$K$31)-COLUMN($B$2))*ROWS($A$2:$A$31)+ROW($B$2:$K$31)-ROW($B$2)+1),ROWS($M$1:M56))-1)/ROWS($A$2:$A$31))+1),"")</f>
        <v/>
      </c>
      <c r="N56" s="33" t="str">
        <f t="array" ref="N56">IFERROR(INDEX($A$2:$A$31,MOD(SMALL(IF($B$2:$K$31&lt;&gt;"",(COLUMN($B$2:$K$31)-COLUMN($B$2))*ROWS($A$2:$A$31)+ROW($B$2:$K$31)-ROW($B$2)+1),ROWS($M$1:M56))-1,ROWS($A$2:$A$31))+1),"")</f>
        <v/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배치</vt:lpstr>
      <vt:lpstr>근무데이터</vt:lpstr>
      <vt:lpstr>대체근무자</vt:lpstr>
      <vt:lpstr>태스크_코드 매핑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남문보안실</dc:creator>
  <cp:lastModifiedBy>남문보안실</cp:lastModifiedBy>
  <dcterms:created xsi:type="dcterms:W3CDTF">2026-07-08T18:01:37Z</dcterms:created>
  <dcterms:modified xsi:type="dcterms:W3CDTF">2026-07-26T19:51:11Z</dcterms:modified>
</cp:coreProperties>
</file>